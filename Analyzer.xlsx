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17771" windowHeight="9000" firstSheet="4" activeTab="7"/>
  </bookViews>
  <sheets>
    <sheet name="Project Instructions" sheetId="1" r:id="rId1"/>
    <sheet name="Dataset" sheetId="2" r:id="rId2"/>
    <sheet name="top 10 customers" sheetId="3" r:id="rId3"/>
    <sheet name="WHAT IF Analysis" sheetId="6" r:id="rId4"/>
    <sheet name="Linear Regression (Profit vs Sa" sheetId="9" r:id="rId5"/>
    <sheet name="Descriptive Statistics" sheetId="10" r:id="rId6"/>
    <sheet name=" Pivot Table " sheetId="4" r:id="rId7"/>
    <sheet name="Dashboard" sheetId="12" r:id="rId8"/>
  </sheets>
  <externalReferences>
    <externalReference r:id="rId11"/>
  </externalReferences>
  <calcPr calcId="191029"/>
  <pivotCaches>
    <pivotCache cacheId="0" r:id="rId9"/>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<sst xmlns="http://schemas.openxmlformats.org/spreadsheetml/2006/main" count="907" uniqueCount="137">
  <si>
    <t>PR. 2 Analyzer</t>
  </si>
  <si>
    <r>
      <t xml:space="preserve">Topics:
</t>
    </r>
    <r>
      <rPr>
        <sz val="11"/>
        <color theme="1"/>
        <rFont val="Calibri"/>
        <charset val="134"/>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charset val="134"/>
      </rPr>
      <t>Main Tasks:</t>
    </r>
    <r>
      <rPr>
        <sz val="11"/>
        <color rgb="FF38761D"/>
        <rFont val="Calibri"/>
        <charset val="134"/>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charset val="134"/>
      </rPr>
      <t xml:space="preserve">
</t>
    </r>
    <r>
      <rPr>
        <b/>
        <sz val="11"/>
        <color theme="1"/>
        <rFont val="Calibri"/>
        <charset val="134"/>
      </rPr>
      <t xml:space="preserve">Deliverable:
</t>
    </r>
    <r>
      <rPr>
        <sz val="11"/>
        <color theme="1"/>
        <rFont val="Calibri"/>
        <charset val="134"/>
      </rPr>
      <t>Complete the given worksheet by applying the required formulas in respective sheets.</t>
    </r>
  </si>
  <si>
    <t>Customer_ID</t>
  </si>
  <si>
    <t>Customer_Name</t>
  </si>
  <si>
    <t>Region</t>
  </si>
  <si>
    <t>Product_Category</t>
  </si>
  <si>
    <t>Sales</t>
  </si>
  <si>
    <t>Quantity</t>
  </si>
  <si>
    <t>Discount</t>
  </si>
  <si>
    <t>Order_Date</t>
  </si>
  <si>
    <t>Profit</t>
  </si>
  <si>
    <t>Total Purchase</t>
  </si>
  <si>
    <t>Adjusted Profit</t>
  </si>
  <si>
    <t>timestamp</t>
  </si>
  <si>
    <t>6. Create a timestamp column using NOW().</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</si>
  <si>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</si>
  <si>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</si>
  <si>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</si>
  <si>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</si>
  <si>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</si>
  <si>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</si>
  <si>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</si>
  <si>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</si>
  <si>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</si>
  <si>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</si>
  <si>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</si>
  <si>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</si>
  <si>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</si>
  <si>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</si>
  <si>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</si>
  <si>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</si>
  <si>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</si>
  <si>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</si>
  <si>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</si>
  <si>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</si>
  <si>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</si>
  <si>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</si>
  <si>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</si>
  <si>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</si>
  <si>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</si>
  <si>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</si>
  <si>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</si>
  <si>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</si>
  <si>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</si>
  <si>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</si>
  <si>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</si>
  <si>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</si>
  <si>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</si>
  <si>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</si>
  <si>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</si>
  <si>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</si>
  <si>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</si>
  <si>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</si>
  <si>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</si>
  <si>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</si>
  <si>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</si>
  <si>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</si>
  <si>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</si>
  <si>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</si>
  <si>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</si>
  <si>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</si>
  <si>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</si>
  <si>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</si>
  <si>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</si>
  <si>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</si>
  <si>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</si>
  <si>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</si>
  <si>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</si>
  <si>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</si>
  <si>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</si>
  <si>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</si>
  <si>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</si>
  <si>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</si>
  <si>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</si>
  <si>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</si>
  <si>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</si>
  <si>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</si>
  <si>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</si>
  <si>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</si>
  <si>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</si>
  <si>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</si>
  <si>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</si>
  <si>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Customer Name</t>
  </si>
  <si>
    <t>RANK</t>
  </si>
  <si>
    <t>TOP Purchase</t>
  </si>
  <si>
    <t>Profit Formula</t>
  </si>
  <si>
    <t>discounts</t>
  </si>
  <si>
    <t>Amount</t>
  </si>
  <si>
    <t>Scenario</t>
  </si>
  <si>
    <t>Adjusted Amount</t>
  </si>
  <si>
    <t>Best Case</t>
  </si>
  <si>
    <t>Average Case</t>
  </si>
  <si>
    <t>Worst Case</t>
  </si>
  <si>
    <t>Row Labels</t>
  </si>
  <si>
    <t>Sum of Sales</t>
  </si>
  <si>
    <t>Sum of Profit</t>
  </si>
  <si>
    <t>Jan</t>
  </si>
  <si>
    <t>Feb</t>
  </si>
  <si>
    <t>Mar</t>
  </si>
  <si>
    <t>Apr</t>
  </si>
  <si>
    <t>May</t>
  </si>
  <si>
    <t>Jun</t>
  </si>
  <si>
    <t>Jul</t>
  </si>
  <si>
    <t>Aug</t>
  </si>
  <si>
    <t>Sep</t>
  </si>
  <si>
    <t>Oct</t>
  </si>
  <si>
    <t>Nov</t>
  </si>
  <si>
    <t>Dec</t>
  </si>
  <si>
    <t>Grand Total</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</si>
  <si>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</si>
  <si>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</si>
  <si>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</si>
  <si>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</si>
  <si>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</si>
  <si>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</si>
  <si>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</si>
  <si>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</si>
  <si>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</si>
  <si>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</si>
  <si>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</si>
  <si>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</si>
  <si>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</si>
  <si>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</si>
  <si>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</si>
  <si>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</si>
  <si>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</si>
  <si>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</si>
  <si>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</si>
  <si>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</si>
  <si>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</si>
  <si>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</si>
  <si>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</si>
  <si>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</si>
  <si>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</si>
  <si>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 xml:space="preserve"> Total sales by region </t>
  </si>
  <si>
    <t xml:space="preserve">Total sales by product </t>
  </si>
  <si>
    <t>Total of sales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</si>
</sst>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 "/>
    <numFmt numFmtId="181" formatCode="yyyy/mm/dd"/>
    <numFmt numFmtId="182" formatCode="dd/mm/yyyy\ hh:mm"/>
  </numFmts>
  <fonts count="33">
    <font>
      <sz val="11"/>
      <color theme="1"/>
      <name val="Calibri"/>
      <charset val="134"/>
      <scheme val="minor"/>
    </font>
    <font>
      <b/>
      <sz val="14"/>
      <color theme="1"/>
      <name val="Calibri"/>
      <charset val="134"/>
      <scheme val="minor"/>
    </font>
    <font>
      <b/>
      <sz val="16"/>
      <color rgb="FF38761D"/>
      <name val="Calibri"/>
      <charset val="134"/>
    </font>
    <font>
      <i/>
      <sz val="11"/>
      <color theme="1"/>
      <name val="Calibri"/>
      <charset val="134"/>
      <scheme val="minor"/>
    </font>
    <font>
      <b/>
      <sz val="20"/>
      <color theme="1"/>
      <name val="Calibri"/>
      <charset val="134"/>
      <scheme val="minor"/>
    </font>
    <font>
      <b/>
      <sz val="12"/>
      <color theme="1"/>
      <name val="Calibri"/>
      <charset val="134"/>
      <scheme val="minor"/>
    </font>
    <font>
      <sz val="12"/>
      <color theme="1"/>
      <name val="Calibri"/>
      <charset val="134"/>
      <scheme val="minor"/>
    </font>
    <font>
      <b/>
      <sz val="14"/>
      <name val="Calibri"/>
      <charset val="134"/>
      <scheme val="minor"/>
    </font>
    <font>
      <b/>
      <sz val="12"/>
      <name val="Calibri"/>
      <charset val="134"/>
      <scheme val="minor"/>
    </font>
    <font>
      <b/>
      <sz val="11"/>
      <color theme="1"/>
      <name val="Calibri"/>
      <charset val="134"/>
      <scheme val="minor"/>
    </font>
    <font>
      <b/>
      <sz val="11"/>
      <color theme="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38761D"/>
      <name val="Calibri"/>
      <charset val="134"/>
    </font>
    <font>
      <sz val="11"/>
      <color rgb="FF38761D"/>
      <name val="Calibri"/>
      <charset val="134"/>
    </font>
  </fonts>
  <fills count="41">
    <fill>
      <patternFill patternType="none"/>
    </fill>
    <fill>
      <patternFill patternType="gray125"/>
    </fill>
    <fill>
      <patternFill patternType="solid">
        <fgColor theme="0" tint="-0.05"/>
        <bgColor indexed="64"/>
      </patternFill>
    </fill>
    <fill>
      <patternFill patternType="solid">
        <fgColor theme="0"/>
        <bgColor indexed="64"/>
      </patternFill>
    </fill>
    <fill>
      <patternFill patternType="solid">
        <fgColor theme="0" tint="-0.15"/>
        <bgColor indexed="64"/>
      </patternFill>
    </fill>
    <fill>
      <patternFill patternType="solid">
        <fgColor theme="0" tint="-0.15"/>
        <bgColor rgb="FF4472C4"/>
      </patternFill>
    </fill>
    <fill>
      <patternFill patternType="solid">
        <fgColor theme="2"/>
        <bgColor rgb="FF4472C4"/>
      </patternFill>
    </fill>
    <fill>
      <patternFill patternType="solid">
        <fgColor theme="2" tint="-0.15"/>
        <bgColor indexed="64"/>
      </patternFill>
    </fill>
    <fill>
      <patternFill patternType="solid">
        <fgColor theme="0" tint="-0.15"/>
        <bgColor indexed="64"/>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style="medium">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0"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11" borderId="8" applyNumberFormat="0" applyAlignment="0" applyProtection="0">
      <alignment vertical="center"/>
    </xf>
    <xf numFmtId="0" fontId="21" fillId="12" borderId="9" applyNumberFormat="0" applyAlignment="0" applyProtection="0">
      <alignment vertical="center"/>
    </xf>
    <xf numFmtId="0" fontId="22" fillId="12" borderId="8" applyNumberFormat="0" applyAlignment="0" applyProtection="0">
      <alignment vertical="center"/>
    </xf>
    <xf numFmtId="0" fontId="23" fillId="13"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41">
    <xf numFmtId="0" fontId="0" fillId="0" borderId="0" xfId="0" applyFont="1" applyAlignment="1"/>
    <xf numFmtId="0" fontId="1" fillId="0" borderId="0" xfId="0" applyFont="1" applyAlignment="1"/>
    <xf numFmtId="180" fontId="0" fillId="0" borderId="0" xfId="0" applyNumberFormat="1" applyFont="1" applyAlignment="1"/>
    <xf numFmtId="0" fontId="0" fillId="0" borderId="0" xfId="0" applyFont="1" applyAlignment="1">
      <alignment horizontal="left"/>
    </xf>
    <xf numFmtId="0" fontId="2" fillId="0" borderId="0" xfId="0" applyFont="1"/>
    <xf numFmtId="0" fontId="0" fillId="0" borderId="0" xfId="0"/>
    <xf numFmtId="0" fontId="3" fillId="0" borderId="1" xfId="0" applyFont="1" applyBorder="1" applyAlignment="1">
      <alignment horizontal="centerContinuous"/>
    </xf>
    <xf numFmtId="0" fontId="0" fillId="0" borderId="2" xfId="0" applyBorder="1"/>
    <xf numFmtId="0" fontId="3" fillId="0" borderId="1" xfId="0" applyFont="1" applyBorder="1" applyAlignment="1">
      <alignment horizontal="center"/>
    </xf>
    <xf numFmtId="0" fontId="0" fillId="2" borderId="0" xfId="0" applyFill="1"/>
    <xf numFmtId="0" fontId="0" fillId="3" borderId="0" xfId="0" applyFont="1" applyFill="1" applyAlignment="1"/>
    <xf numFmtId="0" fontId="0" fillId="0" borderId="0" xfId="0" applyAlignment="1">
      <alignment horizontal="left"/>
    </xf>
    <xf numFmtId="0" fontId="0" fillId="0" borderId="0" xfId="0" applyNumberFormat="1"/>
    <xf numFmtId="0" fontId="0" fillId="2" borderId="0" xfId="0" applyFill="1" applyAlignment="1">
      <alignment horizontal="left"/>
    </xf>
    <xf numFmtId="0" fontId="0" fillId="2" borderId="0" xfId="0" applyNumberFormat="1" applyFill="1"/>
    <xf numFmtId="0" fontId="4" fillId="0" borderId="0" xfId="0" applyFont="1" applyAlignment="1"/>
    <xf numFmtId="0" fontId="5" fillId="4" borderId="3" xfId="0" applyFont="1" applyFill="1" applyBorder="1"/>
    <xf numFmtId="0" fontId="6" fillId="0" borderId="3" xfId="0" applyFont="1" applyBorder="1" applyAlignment="1"/>
    <xf numFmtId="0" fontId="6" fillId="0" borderId="3" xfId="0" applyFont="1" applyBorder="1"/>
    <xf numFmtId="0" fontId="6" fillId="0" borderId="0" xfId="0" applyFont="1" applyAlignment="1"/>
    <xf numFmtId="9" fontId="6" fillId="0" borderId="3" xfId="0" applyNumberFormat="1" applyFont="1" applyBorder="1" applyAlignment="1"/>
    <xf numFmtId="9" fontId="6" fillId="0" borderId="3" xfId="0" applyNumberFormat="1" applyFont="1" applyBorder="1"/>
    <xf numFmtId="0" fontId="0" fillId="0" borderId="3" xfId="0" applyBorder="1"/>
    <xf numFmtId="0" fontId="1" fillId="4" borderId="0" xfId="0" applyFont="1" applyFill="1"/>
    <xf numFmtId="0" fontId="7" fillId="5" borderId="0" xfId="0" applyFont="1" applyFill="1" applyAlignment="1">
      <alignment vertical="center"/>
    </xf>
    <xf numFmtId="0" fontId="8" fillId="6" borderId="0" xfId="0" applyFont="1" applyFill="1" applyAlignment="1">
      <alignment vertical="center"/>
    </xf>
    <xf numFmtId="0" fontId="0" fillId="0" borderId="0" xfId="0" applyFont="1" applyAlignment="1">
      <alignment wrapText="1"/>
    </xf>
    <xf numFmtId="0" fontId="5" fillId="4" borderId="3" xfId="0" applyFont="1" applyFill="1" applyBorder="1" applyAlignment="1">
      <alignment horizontal="center" vertical="center"/>
    </xf>
    <xf numFmtId="0" fontId="6" fillId="3" borderId="3" xfId="0" applyFont="1" applyFill="1" applyBorder="1" applyAlignment="1">
      <alignment horizontal="center" vertical="center"/>
    </xf>
    <xf numFmtId="9" fontId="0" fillId="0" borderId="0" xfId="0" applyNumberFormat="1" applyFont="1" applyAlignment="1"/>
    <xf numFmtId="0" fontId="5" fillId="0" borderId="0" xfId="0" applyFont="1" applyAlignment="1"/>
    <xf numFmtId="9" fontId="5" fillId="0" borderId="0" xfId="0" applyNumberFormat="1" applyFont="1" applyAlignment="1"/>
    <xf numFmtId="181" fontId="0" fillId="0" borderId="0" xfId="0" applyNumberFormat="1" applyFont="1" applyAlignment="1"/>
    <xf numFmtId="0" fontId="5" fillId="4" borderId="0" xfId="0" applyFont="1" applyFill="1"/>
    <xf numFmtId="0" fontId="5" fillId="7" borderId="0" xfId="0" applyFont="1" applyFill="1"/>
    <xf numFmtId="0" fontId="5" fillId="8" borderId="0" xfId="0" applyFont="1" applyFill="1"/>
    <xf numFmtId="0" fontId="9" fillId="0" borderId="0" xfId="0" applyFont="1"/>
    <xf numFmtId="182" fontId="0" fillId="0" borderId="0" xfId="0" applyNumberFormat="1" applyFont="1" applyAlignment="1"/>
    <xf numFmtId="0" fontId="10" fillId="9" borderId="4" xfId="0" applyFont="1" applyFill="1" applyBorder="1" applyAlignment="1">
      <alignment horizontal="center"/>
    </xf>
    <xf numFmtId="0" fontId="11" fillId="0" borderId="0" xfId="0" applyFont="1"/>
    <xf numFmtId="0" fontId="10" fillId="0" borderId="4"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fill>
        <patternFill patternType="solid">
          <bgColor theme="0" tint="-0.05"/>
        </patternFill>
      </fill>
    </dxf>
    <dxf>
      <fill>
        <patternFill patternType="solid">
          <bgColor theme="0" tint="-0.05"/>
        </patternFill>
      </fill>
    </dxf>
    <dxf>
      <fill>
        <patternFill patternType="solid">
          <bgColor theme="0" tint="-0.05"/>
        </patternFill>
      </fill>
    </dxf>
    <dxf>
      <fill>
        <patternFill patternType="solid">
          <bgColor theme="0" tint="-0.05"/>
        </patternFill>
      </fill>
    </dxf>
    <dxf>
      <fill>
        <patternFill patternType="solid">
          <bgColor theme="0" tint="-0.05"/>
        </patternFill>
      </fill>
    </dxf>
    <dxf>
      <font>
        <color rgb="FF006100"/>
      </font>
      <fill>
        <patternFill patternType="solid">
          <bgColor rgb="FFC6EFCE"/>
        </patternFill>
      </fill>
    </dxf>
    <dxf>
      <font>
        <b val="1"/>
        <i val="0"/>
        <u val="none"/>
        <color theme="6"/>
      </font>
      <numFmt numFmtId="177" formatCode="_ &quot;₹&quot;* #,##0.00_ ;_ &quot;₹&quot;* \-#,##0.00_ ;_ &quot;₹&quot;* &quot;-&quot;??_ ;_ @_ "/>
      <fill>
        <patternFill patternType="solid">
          <bgColor theme="6" tint="0.8"/>
        </patternFill>
      </fill>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eetMetadata" Target="metadata.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1.xml"/><Relationship Id="rId10" Type="http://schemas.openxmlformats.org/officeDocument/2006/relationships/pivotCacheDefinition" Target="pivotCache/pivotCacheDefinition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rPr lang="en-US" altLang="en-GB"/>
              <a:t>Top purchase customer</a:t>
            </a:r>
            <a:endParaRPr lang="en-US" altLang="en-GB"/>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GB"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{"Robert Anderson","Michael Anderson","Mary Davis","Lisa Thomas","Lisa Davis","Linda Wilson","James Wilson","Emma Wilson","Emma Davis","David Brown"}</c:f>
              <c:strCache>
                <c:ptCount val="10"/>
                <c:pt idx="0">
                  <c:v>Robert Anderson</c:v>
                </c:pt>
                <c:pt idx="1">
                  <c:v>Michael Anderson</c:v>
                </c:pt>
                <c:pt idx="2">
                  <c:v>Mary Davis</c:v>
                </c:pt>
                <c:pt idx="3">
                  <c:v>Lisa Thomas</c:v>
                </c:pt>
                <c:pt idx="4">
                  <c:v>Lisa Davis</c:v>
                </c:pt>
                <c:pt idx="5">
                  <c:v>Linda Wilson</c:v>
                </c:pt>
                <c:pt idx="6">
                  <c:v>James Wilson</c:v>
                </c:pt>
                <c:pt idx="7">
                  <c:v>Emma Wilson</c:v>
                </c:pt>
                <c:pt idx="8">
                  <c:v>Emma Davis</c:v>
                </c:pt>
                <c:pt idx="9">
                  <c:v>David Brown</c:v>
                </c:pt>
              </c:strCache>
            </c:strRef>
          </c:cat>
          <c:val>
            <c:numRef>
              <c:f>{8331.85,7881.9,17143.29,8635.95,8090.12,9970.2,20774.74,8543.97,11398.32,11915.83}</c:f>
              <c:numCache>
                <c:formatCode>General</c:formatCode>
                <c:ptCount val="10"/>
                <c:pt idx="0">
                  <c:v>8331.85</c:v>
                </c:pt>
                <c:pt idx="1">
                  <c:v>7881.9</c:v>
                </c:pt>
                <c:pt idx="2">
                  <c:v>17143.29</c:v>
                </c:pt>
                <c:pt idx="3">
                  <c:v>8635.95</c:v>
                </c:pt>
                <c:pt idx="4">
                  <c:v>8090.12</c:v>
                </c:pt>
                <c:pt idx="5">
                  <c:v>9970.2</c:v>
                </c:pt>
                <c:pt idx="6">
                  <c:v>20774.74</c:v>
                </c:pt>
                <c:pt idx="7">
                  <c:v>8543.97</c:v>
                </c:pt>
                <c:pt idx="8">
                  <c:v>11398.32</c:v>
                </c:pt>
                <c:pt idx="9">
                  <c:v>11915.83</c:v>
                </c:pt>
              </c:numCache>
            </c:numRef>
          </c:val>
        </c:ser>
        <c:dLbls>
          <c:showLegendKey val="0"/>
          <c:showVal val="1"/>
          <c:showCatName val="0"/>
          <c:showSerName val="0"/>
          <c:showPercent val="1"/>
          <c:showBubbleSize val="1"/>
        </c:dLbls>
        <c:gapWidth val="219"/>
        <c:overlap val="-27"/>
        <c:axId val="577103592"/>
        <c:axId val="596091245"/>
      </c:barChart>
      <c:catAx>
        <c:axId val="57710359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596091245"/>
        <c:crosses val="autoZero"/>
        <c:auto val="1"/>
        <c:lblAlgn val="ctr"/>
        <c:lblOffset val="100"/>
        <c:noMultiLvlLbl val="0"/>
      </c:catAx>
      <c:valAx>
        <c:axId val="59609124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5771035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[rnw.xlsx]Linear Regression (Profit vs Sa!PivotTable6</c:name>
    <c:fmtId val="0"/>
  </c:pivotSource>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rPr lang="en-US" altLang="en-GB"/>
              <a:t>sum of sales and profit</a:t>
            </a:r>
            <a:endParaRPr lang="en-US" altLang="en-GB"/>
          </a:p>
        </c:rich>
      </c:tx>
      <c:layout>
        <c:manualLayout>
          <c:xMode val="edge"/>
          <c:yMode val="edge"/>
          <c:x val="0.390097713307142"/>
          <c:y val="0.0735009664262517"/>
        </c:manualLayout>
      </c:layout>
      <c:overlay val="0"/>
      <c:spPr>
        <a:noFill/>
        <a:ln>
          <a:noFill/>
        </a:ln>
        <a:effectLst/>
      </c:spPr>
    </c:title>
    <c:autoTitleDeleted val="0"/>
    <c:plotArea>
      <c:layout/>
      <c:lineChart>
        <c:grouping val="standard"/>
        <c:varyColors val="0"/>
        <c:ser>
          <c:idx val="0"/>
          <c:order val="0"/>
          <c:tx>
            <c:strRef>
              <c:f>'Linear Regression (Profit vs Sa'!$B$4</c:f>
              <c:strCache>
                <c:ptCount val="1"/>
                <c:pt idx="0">
                  <c:v>Sum of Sales</c:v>
                </c:pt>
              </c:strCache>
            </c:strRef>
          </c:tx>
          <c:spPr>
            <a:ln w="28575" cap="rnd">
              <a:solidFill>
                <a:schemeClr val="accent1"/>
              </a:solidFill>
              <a:round/>
            </a:ln>
            <a:effectLst/>
          </c:spPr>
          <c:marker>
            <c:symbol val="none"/>
          </c:marker>
          <c:dLbls>
            <c:delete val="1"/>
          </c:dLbls>
          <c:cat>
            <c:strRef>
              <c:f>'Linear Regression (Profit vs Sa'!$A$5:$A$17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'Linear Regression (Profit vs Sa'!$B$5:$B$17</c:f>
              <c:numCache>
                <c:formatCode>General</c:formatCode>
                <c:ptCount val="12"/>
                <c:pt idx="0">
                  <c:v>14914.65</c:v>
                </c:pt>
                <c:pt idx="1">
                  <c:v>14006.36</c:v>
                </c:pt>
                <c:pt idx="2">
                  <c:v>17655.22</c:v>
                </c:pt>
                <c:pt idx="3">
                  <c:v>22242.13</c:v>
                </c:pt>
                <c:pt idx="4">
                  <c:v>18507.34</c:v>
                </c:pt>
                <c:pt idx="5">
                  <c:v>20187.51</c:v>
                </c:pt>
                <c:pt idx="6">
                  <c:v>11609.04</c:v>
                </c:pt>
                <c:pt idx="7">
                  <c:v>10091.7</c:v>
                </c:pt>
                <c:pt idx="8">
                  <c:v>20533.5</c:v>
                </c:pt>
                <c:pt idx="9">
                  <c:v>14215.24</c:v>
                </c:pt>
                <c:pt idx="10">
                  <c:v>20135.03</c:v>
                </c:pt>
                <c:pt idx="11">
                  <c:v>11120.04</c:v>
                </c:pt>
              </c:numCache>
            </c:numRef>
          </c:val>
          <c:smooth val="0"/>
        </c:ser>
        <c:ser>
          <c:idx val="1"/>
          <c:order val="1"/>
          <c:tx>
            <c:strRef>
              <c:f>'Linear Regression (Profit vs Sa'!$C$4</c:f>
              <c:strCache>
                <c:ptCount val="1"/>
                <c:pt idx="0">
                  <c:v>Sum of Profit</c:v>
                </c:pt>
              </c:strCache>
            </c:strRef>
          </c:tx>
          <c:spPr>
            <a:ln w="28575" cap="rnd">
              <a:solidFill>
                <a:schemeClr val="accent2"/>
              </a:solidFill>
              <a:round/>
            </a:ln>
            <a:effectLst/>
          </c:spPr>
          <c:marker>
            <c:symbol val="none"/>
          </c:marker>
          <c:dLbls>
            <c:delete val="1"/>
          </c:dLbls>
          <c:cat>
            <c:strRef>
              <c:f>'Linear Regression (Profit vs Sa'!$A$5:$A$17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'Linear Regression (Profit vs Sa'!$C$5:$C$17</c:f>
              <c:numCache>
                <c:formatCode>General</c:formatCode>
                <c:ptCount val="12"/>
                <c:pt idx="0">
                  <c:v>5763.4</c:v>
                </c:pt>
                <c:pt idx="1">
                  <c:v>5039.23</c:v>
                </c:pt>
                <c:pt idx="2">
                  <c:v>7071.39</c:v>
                </c:pt>
                <c:pt idx="3">
                  <c:v>7642.86</c:v>
                </c:pt>
                <c:pt idx="4">
                  <c:v>6121.35</c:v>
                </c:pt>
                <c:pt idx="5">
                  <c:v>6918</c:v>
                </c:pt>
                <c:pt idx="6">
                  <c:v>3743.85</c:v>
                </c:pt>
                <c:pt idx="7">
                  <c:v>3302.84</c:v>
                </c:pt>
                <c:pt idx="8">
                  <c:v>7457.52</c:v>
                </c:pt>
                <c:pt idx="9">
                  <c:v>4861.7</c:v>
                </c:pt>
                <c:pt idx="10">
                  <c:v>6814.88</c:v>
                </c:pt>
                <c:pt idx="11">
                  <c:v>3549.99</c:v>
                </c:pt>
              </c:numCache>
            </c:numRef>
          </c:val>
          <c:smooth val="0"/>
        </c:ser>
        <c:dLbls>
          <c:showLegendKey val="0"/>
          <c:showVal val="0"/>
          <c:showCatName val="0"/>
          <c:showSerName val="0"/>
          <c:showPercent val="0"/>
          <c:showBubbleSize val="0"/>
        </c:dLbls>
        <c:marker val="0"/>
        <c:smooth val="0"/>
        <c:axId val="248706609"/>
        <c:axId val="216999098"/>
      </c:lineChart>
      <c:catAx>
        <c:axId val="24870660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216999098"/>
        <c:crosses val="autoZero"/>
        <c:auto val="1"/>
        <c:lblAlgn val="ctr"/>
        <c:lblOffset val="100"/>
        <c:noMultiLvlLbl val="0"/>
      </c:catAx>
      <c:valAx>
        <c:axId val="216999098"/>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en-GB"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24870660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[rnw.xlsx] Pivot Table !PivotTable1</c:name>
    <c:fmtId val="0"/>
  </c:pivotSource>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t> Total sales by region </a:t>
            </a:r>
          </a:p>
        </c:rich>
      </c:tx>
      <c:layout>
        <c:manualLayout>
          <c:xMode val="edge"/>
          <c:yMode val="edge"/>
          <c:x val="0.343746323096835"/>
          <c:y val="0.0796703286878355"/>
        </c:manualLayout>
      </c:layout>
      <c:overlay val="0"/>
      <c:spPr>
        <a:noFill/>
        <a:ln>
          <a:noFill/>
        </a:ln>
        <a:effectLst/>
      </c:spPr>
    </c:title>
    <c:autoTitleDeleted val="0"/>
    <c:view3D>
      <c:rotX val="30"/>
      <c:rotY val="0"/>
      <c:depthPercent val="100"/>
      <c:rAngAx val="0"/>
    </c:view3D>
    <c:floor>
      <c:thickness val="0"/>
      <c:spPr>
        <a:noFill/>
        <a:effectLst/>
      </c:spPr>
    </c:floor>
    <c:sideWall>
      <c:thickness val="0"/>
      <c:spPr>
        <a:noFill/>
        <a:effectLst/>
      </c:spPr>
    </c:sideWall>
    <c:backWall>
      <c:thickness val="0"/>
      <c:spPr>
        <a:noFill/>
        <a:effectLst/>
      </c:spPr>
    </c:backWall>
    <c:plotArea>
      <c:layout/>
      <c:pie3DChart>
        <c:varyColors val="1"/>
        <c:ser>
          <c:idx val="0"/>
          <c:order val="0"/>
          <c:tx>
            <c:strRef>
              <c:f>' Pivot Table '!$B$10</c:f>
              <c:strCache>
                <c:ptCount val="1"/>
                <c:pt idx="0">
                  <c:v>Total</c:v>
                </c:pt>
              </c:strCache>
            </c:strRef>
          </c:tx>
          <c:spPr/>
          <c:explosion val="0"/>
          <c:dPt>
            <c:idx val="0"/>
            <c:bubble3D val="0"/>
            <c:spPr>
              <a:solidFill>
                <a:schemeClr val="accent6"/>
              </a:solidFill>
              <a:ln>
                <a:noFill/>
              </a:ln>
              <a:effectLst/>
            </c:spPr>
          </c:dPt>
          <c:dPt>
            <c:idx val="1"/>
            <c:bubble3D val="0"/>
            <c:spPr>
              <a:solidFill>
                <a:schemeClr val="accent5"/>
              </a:solidFill>
              <a:ln>
                <a:noFill/>
              </a:ln>
              <a:effectLst/>
            </c:spPr>
          </c:dPt>
          <c:dPt>
            <c:idx val="2"/>
            <c:bubble3D val="0"/>
            <c:spPr>
              <a:solidFill>
                <a:schemeClr val="accent4"/>
              </a:solidFill>
              <a:ln>
                <a:noFill/>
              </a:ln>
              <a:effectLst/>
            </c:spPr>
          </c:dPt>
          <c:dPt>
            <c:idx val="3"/>
            <c:bubble3D val="0"/>
            <c:spPr>
              <a:solidFill>
                <a:schemeClr val="accent6">
                  <a:lumMod val="60000"/>
                </a:schemeClr>
              </a:solidFill>
              <a:ln>
                <a:noFill/>
              </a:ln>
              <a:effectLst/>
            </c:spPr>
          </c:dPt>
          <c:dPt>
            <c:idx val="4"/>
            <c:bubble3D val="0"/>
            <c:spPr>
              <a:solidFill>
                <a:schemeClr val="accent5">
                  <a:lumMod val="6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en-GB"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 Pivot Table '!$A$11:$A$16</c:f>
              <c:strCache>
                <c:ptCount val="5"/>
                <c:pt idx="0">
                  <c:v>Central</c:v>
                </c:pt>
                <c:pt idx="1">
                  <c:v>East</c:v>
                </c:pt>
                <c:pt idx="2">
                  <c:v>North</c:v>
                </c:pt>
                <c:pt idx="3">
                  <c:v>South</c:v>
                </c:pt>
                <c:pt idx="4">
                  <c:v>West</c:v>
                </c:pt>
              </c:strCache>
            </c:strRef>
          </c:cat>
          <c:val>
            <c:numRef>
              <c:f>' Pivot Table '!$B$11:$B$16</c:f>
              <c:numCache>
                <c:formatCode>#,##0_ </c:formatCode>
                <c:ptCount val="5"/>
                <c:pt idx="0">
                  <c:v>43468.33</c:v>
                </c:pt>
                <c:pt idx="1">
                  <c:v>32441.64</c:v>
                </c:pt>
                <c:pt idx="2">
                  <c:v>34975.42</c:v>
                </c:pt>
                <c:pt idx="3">
                  <c:v>40248.79</c:v>
                </c:pt>
                <c:pt idx="4">
                  <c:v>44083.58</c:v>
                </c:pt>
              </c:numCache>
            </c:numRef>
          </c:val>
        </c:ser>
        <c:dLbls>
          <c:showLegendKey val="0"/>
          <c:showVal val="1"/>
          <c:showCatName val="0"/>
          <c:showSerName val="0"/>
          <c:showPercent val="1"/>
          <c:showBubbleSize val="1"/>
        </c:dLbls>
      </c:pie3D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a3df0d4-9a21-4f70-b21b-48984ffd3090}"/>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[rnw.xlsx] Pivot Table !PivotTable3</c:name>
    <c:fmtId val="0"/>
  </c:pivotSource>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t>Total sales by product </a:t>
            </a:r>
          </a:p>
        </c:rich>
      </c:tx>
      <c:layout>
        <c:manualLayout>
          <c:xMode val="edge"/>
          <c:yMode val="edge"/>
          <c:x val="0.337668424135911"/>
          <c:y val="0.0726087958362731"/>
        </c:manualLayout>
      </c:layout>
      <c:overlay val="0"/>
      <c:spPr>
        <a:noFill/>
        <a:ln>
          <a:noFill/>
        </a:ln>
        <a:effectLst/>
      </c:spPr>
    </c:title>
    <c:autoTitleDeleted val="0"/>
    <c:plotArea>
      <c:layout/>
      <c:barChart>
        <c:barDir val="col"/>
        <c:grouping val="clustered"/>
        <c:varyColors val="0"/>
        <c:ser>
          <c:idx val="0"/>
          <c:order val="0"/>
          <c:tx>
            <c:strRef>
              <c:f>' Pivot Table '!$B$25</c:f>
              <c:strCache>
                <c:ptCount val="1"/>
                <c:pt idx="0">
                  <c:v>Total</c:v>
                </c:pt>
              </c:strCache>
            </c:strRef>
          </c:tx>
          <c:spPr>
            <a:solidFill>
              <a:schemeClr val="accent6"/>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GB"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 Pivot Table '!$A$26:$A$31</c:f>
              <c:strCache>
                <c:ptCount val="5"/>
                <c:pt idx="0">
                  <c:v>Books</c:v>
                </c:pt>
                <c:pt idx="1">
                  <c:v>Clothing</c:v>
                </c:pt>
                <c:pt idx="2">
                  <c:v>Electronics</c:v>
                </c:pt>
                <c:pt idx="3">
                  <c:v>Furniture</c:v>
                </c:pt>
                <c:pt idx="4">
                  <c:v>Office Supplies</c:v>
                </c:pt>
              </c:strCache>
            </c:strRef>
          </c:cat>
          <c:val>
            <c:numRef>
              <c:f>' Pivot Table '!$B$26:$B$31</c:f>
              <c:numCache>
                <c:formatCode>#,##0_ </c:formatCode>
                <c:ptCount val="5"/>
                <c:pt idx="0">
                  <c:v>47002.46</c:v>
                </c:pt>
                <c:pt idx="1">
                  <c:v>41927.59</c:v>
                </c:pt>
                <c:pt idx="2">
                  <c:v>41044</c:v>
                </c:pt>
                <c:pt idx="3">
                  <c:v>36612.89</c:v>
                </c:pt>
                <c:pt idx="4">
                  <c:v>28630.82</c:v>
                </c:pt>
              </c:numCache>
            </c:numRef>
          </c:val>
        </c:ser>
        <c:dLbls>
          <c:showLegendKey val="0"/>
          <c:showVal val="1"/>
          <c:showCatName val="0"/>
          <c:showSerName val="0"/>
          <c:showPercent val="1"/>
          <c:showBubbleSize val="1"/>
        </c:dLbls>
        <c:gapWidth val="219"/>
        <c:overlap val="-27"/>
        <c:axId val="778380798"/>
        <c:axId val="461976848"/>
      </c:barChart>
      <c:catAx>
        <c:axId val="7783807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461976848"/>
        <c:crosses val="autoZero"/>
        <c:auto val="1"/>
        <c:lblAlgn val="ctr"/>
        <c:lblOffset val="100"/>
        <c:noMultiLvlLbl val="0"/>
      </c:catAx>
      <c:valAx>
        <c:axId val="461976848"/>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77838079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2585f9e-27b8-4511-9a63-5c83471d62c8}"/>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[rnw.xlsx] Pivot Table !PivotTable7</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Total</a:t>
            </a:r>
            <a:r>
              <a:rPr lang="en-US" altLang="en-GB"/>
              <a:t> of sales</a:t>
            </a:r>
            <a:endParaRPr lang="en-US" altLang="en-GB"/>
          </a:p>
        </c:rich>
      </c:tx>
      <c:layout/>
      <c:overlay val="0"/>
      <c:spPr>
        <a:noFill/>
        <a:ln>
          <a:noFill/>
        </a:ln>
        <a:effectLst/>
      </c:spPr>
    </c:title>
    <c:autoTitleDeleted val="0"/>
    <c:plotArea>
      <c:layout/>
      <c:lineChart>
        <c:grouping val="standard"/>
        <c:varyColors val="0"/>
        <c:ser>
          <c:idx val="0"/>
          <c:order val="0"/>
          <c:tx>
            <c:strRef>
              <c:f>' Pivot Table '!$B$38</c:f>
              <c:strCache>
                <c:ptCount val="1"/>
                <c:pt idx="0">
                  <c:v>Total</c:v>
                </c:pt>
              </c:strCache>
            </c:strRef>
          </c:tx>
          <c:spPr>
            <a:ln w="28575" cap="rnd">
              <a:solidFill>
                <a:schemeClr val="accent2"/>
              </a:solidFill>
              <a:round/>
            </a:ln>
            <a:effectLst/>
          </c:spPr>
          <c:marker>
            <c:symbol val="none"/>
          </c:marker>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layout/>
              <c:dLblPos val="r"/>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 Pivot Table '!$A$39:$A$51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 '!$B$39:$B$51</c:f>
              <c:numCache>
                <c:formatCode>General</c:formatCode>
                <c:ptCount val="12"/>
                <c:pt idx="0">
                  <c:v>14914.65</c:v>
                </c:pt>
                <c:pt idx="1">
                  <c:v>14006.36</c:v>
                </c:pt>
                <c:pt idx="2">
                  <c:v>17655.22</c:v>
                </c:pt>
                <c:pt idx="3">
                  <c:v>22242.13</c:v>
                </c:pt>
                <c:pt idx="4">
                  <c:v>18507.34</c:v>
                </c:pt>
                <c:pt idx="5">
                  <c:v>20187.51</c:v>
                </c:pt>
                <c:pt idx="6">
                  <c:v>11609.04</c:v>
                </c:pt>
                <c:pt idx="7">
                  <c:v>10091.7</c:v>
                </c:pt>
                <c:pt idx="8">
                  <c:v>20533.5</c:v>
                </c:pt>
                <c:pt idx="9">
                  <c:v>14215.24</c:v>
                </c:pt>
                <c:pt idx="10">
                  <c:v>20135.03</c:v>
                </c:pt>
                <c:pt idx="11">
                  <c:v>11120.04</c:v>
                </c:pt>
              </c:numCache>
            </c:numRef>
          </c:val>
          <c:smooth val="0"/>
        </c:ser>
        <c:dLbls>
          <c:showLegendKey val="0"/>
          <c:showVal val="1"/>
          <c:showCatName val="0"/>
          <c:showSerName val="0"/>
          <c:showPercent val="0"/>
          <c:showBubbleSize val="0"/>
        </c:dLbls>
        <c:marker val="0"/>
        <c:smooth val="0"/>
        <c:axId val="679460287"/>
        <c:axId val="607413876"/>
      </c:lineChart>
      <c:catAx>
        <c:axId val="679460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607413876"/>
        <c:crosses val="autoZero"/>
        <c:auto val="1"/>
        <c:lblAlgn val="ctr"/>
        <c:lblOffset val="100"/>
        <c:noMultiLvlLbl val="0"/>
      </c:catAx>
      <c:valAx>
        <c:axId val="607413876"/>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en-GB"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679460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[rnw.xlsx] Pivot Table !PivotTable1</c:name>
    <c:fmtId val="0"/>
  </c:pivotSource>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t> Total sales by region </a:t>
            </a:r>
          </a:p>
        </c:rich>
      </c:tx>
      <c:layout>
        <c:manualLayout>
          <c:xMode val="edge"/>
          <c:yMode val="edge"/>
          <c:x val="0.343746323096835"/>
          <c:y val="0.0796703286878355"/>
        </c:manualLayout>
      </c:layout>
      <c:overlay val="0"/>
      <c:spPr>
        <a:noFill/>
        <a:ln>
          <a:noFill/>
        </a:ln>
        <a:effectLst/>
      </c:spPr>
    </c:title>
    <c:autoTitleDeleted val="0"/>
    <c:view3D>
      <c:rotX val="30"/>
      <c:rotY val="0"/>
      <c:depthPercent val="100"/>
      <c:rAngAx val="0"/>
    </c:view3D>
    <c:floor>
      <c:thickness val="0"/>
      <c:spPr>
        <a:noFill/>
        <a:effectLst/>
      </c:spPr>
    </c:floor>
    <c:sideWall>
      <c:thickness val="0"/>
      <c:spPr>
        <a:noFill/>
        <a:effectLst/>
      </c:spPr>
    </c:sideWall>
    <c:backWall>
      <c:thickness val="0"/>
      <c:spPr>
        <a:noFill/>
        <a:effectLst/>
      </c:spPr>
    </c:backWall>
    <c:plotArea>
      <c:layout/>
      <c:pie3DChart>
        <c:varyColors val="1"/>
        <c:ser>
          <c:idx val="0"/>
          <c:order val="0"/>
          <c:tx>
            <c:strRef>
              <c:f>' Pivot Table '!$B$10</c:f>
              <c:strCache>
                <c:ptCount val="1"/>
                <c:pt idx="0">
                  <c:v>Total</c:v>
                </c:pt>
              </c:strCache>
            </c:strRef>
          </c:tx>
          <c:spPr/>
          <c:explosion val="0"/>
          <c:dPt>
            <c:idx val="0"/>
            <c:bubble3D val="0"/>
            <c:spPr>
              <a:solidFill>
                <a:schemeClr val="accent6"/>
              </a:solidFill>
              <a:ln>
                <a:noFill/>
              </a:ln>
              <a:effectLst/>
            </c:spPr>
          </c:dPt>
          <c:dPt>
            <c:idx val="1"/>
            <c:bubble3D val="0"/>
            <c:spPr>
              <a:solidFill>
                <a:schemeClr val="accent5"/>
              </a:solidFill>
              <a:ln>
                <a:noFill/>
              </a:ln>
              <a:effectLst/>
            </c:spPr>
          </c:dPt>
          <c:dPt>
            <c:idx val="2"/>
            <c:bubble3D val="0"/>
            <c:spPr>
              <a:solidFill>
                <a:schemeClr val="accent4"/>
              </a:solidFill>
              <a:ln>
                <a:noFill/>
              </a:ln>
              <a:effectLst/>
            </c:spPr>
          </c:dPt>
          <c:dPt>
            <c:idx val="3"/>
            <c:bubble3D val="0"/>
            <c:spPr>
              <a:solidFill>
                <a:schemeClr val="accent6">
                  <a:lumMod val="60000"/>
                </a:schemeClr>
              </a:solidFill>
              <a:ln>
                <a:noFill/>
              </a:ln>
              <a:effectLst/>
            </c:spPr>
          </c:dPt>
          <c:dPt>
            <c:idx val="4"/>
            <c:bubble3D val="0"/>
            <c:spPr>
              <a:solidFill>
                <a:schemeClr val="accent5">
                  <a:lumMod val="6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en-GB"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 Pivot Table '!$A$11:$A$16</c:f>
              <c:strCache>
                <c:ptCount val="5"/>
                <c:pt idx="0">
                  <c:v>Central</c:v>
                </c:pt>
                <c:pt idx="1">
                  <c:v>East</c:v>
                </c:pt>
                <c:pt idx="2">
                  <c:v>North</c:v>
                </c:pt>
                <c:pt idx="3">
                  <c:v>South</c:v>
                </c:pt>
                <c:pt idx="4">
                  <c:v>West</c:v>
                </c:pt>
              </c:strCache>
            </c:strRef>
          </c:cat>
          <c:val>
            <c:numRef>
              <c:f>' Pivot Table '!$B$11:$B$16</c:f>
              <c:numCache>
                <c:formatCode>#,##0_ </c:formatCode>
                <c:ptCount val="5"/>
                <c:pt idx="0">
                  <c:v>43468.33</c:v>
                </c:pt>
                <c:pt idx="1">
                  <c:v>32441.64</c:v>
                </c:pt>
                <c:pt idx="2">
                  <c:v>34975.42</c:v>
                </c:pt>
                <c:pt idx="3">
                  <c:v>40248.79</c:v>
                </c:pt>
                <c:pt idx="4">
                  <c:v>44083.58</c:v>
                </c:pt>
              </c:numCache>
            </c:numRef>
          </c:val>
        </c:ser>
        <c:dLbls>
          <c:showLegendKey val="0"/>
          <c:showVal val="1"/>
          <c:showCatName val="0"/>
          <c:showSerName val="0"/>
          <c:showPercent val="1"/>
          <c:showBubbleSize val="1"/>
        </c:dLbls>
      </c:pie3D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a3df0d4-9a21-4f70-b21b-48984ffd3090}"/>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[rnw.xlsx] Pivot Table !PivotTable3</c:name>
    <c:fmtId val="2"/>
  </c:pivotSource>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t>Total sales by product </a:t>
            </a:r>
          </a:p>
        </c:rich>
      </c:tx>
      <c:layout>
        <c:manualLayout>
          <c:xMode val="edge"/>
          <c:yMode val="edge"/>
          <c:x val="0.337668424135911"/>
          <c:y val="0.0726087958362731"/>
        </c:manualLayout>
      </c:layout>
      <c:overlay val="0"/>
      <c:spPr>
        <a:noFill/>
        <a:ln>
          <a:noFill/>
        </a:ln>
        <a:effectLst/>
      </c:spPr>
    </c:title>
    <c:autoTitleDeleted val="0"/>
    <c:plotArea>
      <c:layout/>
      <c:barChart>
        <c:barDir val="col"/>
        <c:grouping val="clustered"/>
        <c:varyColors val="0"/>
        <c:ser>
          <c:idx val="0"/>
          <c:order val="0"/>
          <c:tx>
            <c:strRef>
              <c:f>' Pivot Table '!$B$25</c:f>
              <c:strCache>
                <c:ptCount val="1"/>
                <c:pt idx="0">
                  <c:v>Total</c:v>
                </c:pt>
              </c:strCache>
            </c:strRef>
          </c:tx>
          <c:spPr>
            <a:solidFill>
              <a:schemeClr val="accent6"/>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GB"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 Pivot Table '!$A$26:$A$31</c:f>
              <c:strCache>
                <c:ptCount val="5"/>
                <c:pt idx="0">
                  <c:v>Books</c:v>
                </c:pt>
                <c:pt idx="1">
                  <c:v>Clothing</c:v>
                </c:pt>
                <c:pt idx="2">
                  <c:v>Electronics</c:v>
                </c:pt>
                <c:pt idx="3">
                  <c:v>Furniture</c:v>
                </c:pt>
                <c:pt idx="4">
                  <c:v>Office Supplies</c:v>
                </c:pt>
              </c:strCache>
            </c:strRef>
          </c:cat>
          <c:val>
            <c:numRef>
              <c:f>' Pivot Table '!$B$26:$B$31</c:f>
              <c:numCache>
                <c:formatCode>#,##0_ </c:formatCode>
                <c:ptCount val="5"/>
                <c:pt idx="0">
                  <c:v>47002.46</c:v>
                </c:pt>
                <c:pt idx="1">
                  <c:v>41927.59</c:v>
                </c:pt>
                <c:pt idx="2">
                  <c:v>41044</c:v>
                </c:pt>
                <c:pt idx="3">
                  <c:v>36612.89</c:v>
                </c:pt>
                <c:pt idx="4">
                  <c:v>28630.82</c:v>
                </c:pt>
              </c:numCache>
            </c:numRef>
          </c:val>
        </c:ser>
        <c:dLbls>
          <c:showLegendKey val="0"/>
          <c:showVal val="1"/>
          <c:showCatName val="0"/>
          <c:showSerName val="0"/>
          <c:showPercent val="1"/>
          <c:showBubbleSize val="1"/>
        </c:dLbls>
        <c:gapWidth val="219"/>
        <c:overlap val="-27"/>
        <c:axId val="778380798"/>
        <c:axId val="461976848"/>
      </c:barChart>
      <c:catAx>
        <c:axId val="7783807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461976848"/>
        <c:crosses val="autoZero"/>
        <c:auto val="1"/>
        <c:lblAlgn val="ctr"/>
        <c:lblOffset val="100"/>
        <c:noMultiLvlLbl val="0"/>
      </c:catAx>
      <c:valAx>
        <c:axId val="461976848"/>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77838079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2585f9e-27b8-4511-9a63-5c83471d62c8}"/>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[rnw.xlsx] Pivot Table !PivotTable7</c:name>
    <c:fmtId val="2"/>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Total</a:t>
            </a:r>
            <a:r>
              <a:rPr lang="en-US" altLang="en-GB"/>
              <a:t> of sales</a:t>
            </a:r>
            <a:endParaRPr lang="en-US" altLang="en-GB"/>
          </a:p>
        </c:rich>
      </c:tx>
      <c:layout/>
      <c:overlay val="0"/>
      <c:spPr>
        <a:noFill/>
        <a:ln>
          <a:noFill/>
        </a:ln>
        <a:effectLst/>
      </c:spPr>
    </c:title>
    <c:autoTitleDeleted val="0"/>
    <c:plotArea>
      <c:layout/>
      <c:lineChart>
        <c:grouping val="standard"/>
        <c:varyColors val="0"/>
        <c:ser>
          <c:idx val="0"/>
          <c:order val="0"/>
          <c:tx>
            <c:strRef>
              <c:f>' Pivot Table '!$B$38</c:f>
              <c:strCache>
                <c:ptCount val="1"/>
                <c:pt idx="0">
                  <c:v>Total</c:v>
                </c:pt>
              </c:strCache>
            </c:strRef>
          </c:tx>
          <c:spPr>
            <a:ln w="28575" cap="rnd">
              <a:solidFill>
                <a:schemeClr val="accent2"/>
              </a:solidFill>
              <a:round/>
            </a:ln>
            <a:effectLst/>
          </c:spPr>
          <c:marker>
            <c:symbol val="none"/>
          </c:marker>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dLbl>
              <c:idx val="11"/>
              <c:layout/>
              <c:dLblPos val="r"/>
              <c:showLegendKey val="0"/>
              <c:showVal val="1"/>
              <c:showCatName val="0"/>
              <c:showSerName val="1"/>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 Pivot Table '!$A$39:$A$51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 '!$B$39:$B$51</c:f>
              <c:numCache>
                <c:formatCode>General</c:formatCode>
                <c:ptCount val="12"/>
                <c:pt idx="0">
                  <c:v>14914.65</c:v>
                </c:pt>
                <c:pt idx="1">
                  <c:v>14006.36</c:v>
                </c:pt>
                <c:pt idx="2">
                  <c:v>17655.22</c:v>
                </c:pt>
                <c:pt idx="3">
                  <c:v>22242.13</c:v>
                </c:pt>
                <c:pt idx="4">
                  <c:v>18507.34</c:v>
                </c:pt>
                <c:pt idx="5">
                  <c:v>20187.51</c:v>
                </c:pt>
                <c:pt idx="6">
                  <c:v>11609.04</c:v>
                </c:pt>
                <c:pt idx="7">
                  <c:v>10091.7</c:v>
                </c:pt>
                <c:pt idx="8">
                  <c:v>20533.5</c:v>
                </c:pt>
                <c:pt idx="9">
                  <c:v>14215.24</c:v>
                </c:pt>
                <c:pt idx="10">
                  <c:v>20135.03</c:v>
                </c:pt>
                <c:pt idx="11">
                  <c:v>11120.04</c:v>
                </c:pt>
              </c:numCache>
            </c:numRef>
          </c:val>
          <c:smooth val="0"/>
        </c:ser>
        <c:dLbls>
          <c:showLegendKey val="0"/>
          <c:showVal val="1"/>
          <c:showCatName val="0"/>
          <c:showSerName val="0"/>
          <c:showPercent val="0"/>
          <c:showBubbleSize val="0"/>
        </c:dLbls>
        <c:marker val="0"/>
        <c:smooth val="0"/>
        <c:axId val="679460287"/>
        <c:axId val="607413876"/>
      </c:lineChart>
      <c:catAx>
        <c:axId val="679460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607413876"/>
        <c:crosses val="autoZero"/>
        <c:auto val="1"/>
        <c:lblAlgn val="ctr"/>
        <c:lblOffset val="100"/>
        <c:noMultiLvlLbl val="0"/>
      </c:catAx>
      <c:valAx>
        <c:axId val="607413876"/>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en-GB"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679460287"/>
        <c:crosses val="autoZero"/>
        <c:crossBetween val="between"/>
      </c:valAx>
      <c:spPr>
        <a:noFill/>
        <a:ln>
          <a:noFill/>
        </a:ln>
        <a:effectLst/>
      </c:spPr>
    </c:plotArea>
    <c:plotVisOnly val="1"/>
    <c:dispBlanksAs val="gap"/>
    <c:showDLblsOverMax val="0"/>
    <c:extLst>
      <c:ext uri="{0b15fc19-7d7d-44ad-8c2d-2c3a37ce22c3}">
        <chartProps xmlns="https://web.wps.cn/et/2018/main" chartId="{5106e66d-dd2a-495f-8c46-aae353956f0a}"/>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[rnw.xlsx]Linear Regression (Profit vs Sa!PivotTable6</c:name>
    <c:fmtId val="4"/>
  </c:pivotSource>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rPr lang="en-US" altLang="en-GB"/>
              <a:t>sum of sales and profit</a:t>
            </a:r>
            <a:endParaRPr lang="en-US" altLang="en-GB"/>
          </a:p>
        </c:rich>
      </c:tx>
      <c:layout>
        <c:manualLayout>
          <c:xMode val="edge"/>
          <c:yMode val="edge"/>
          <c:x val="0.390097713307142"/>
          <c:y val="0.0735009664262517"/>
        </c:manualLayout>
      </c:layout>
      <c:overlay val="0"/>
      <c:spPr>
        <a:noFill/>
        <a:ln>
          <a:noFill/>
        </a:ln>
        <a:effectLst/>
      </c:spPr>
    </c:title>
    <c:autoTitleDeleted val="0"/>
    <c:plotArea>
      <c:layout/>
      <c:lineChart>
        <c:grouping val="standard"/>
        <c:varyColors val="0"/>
        <c:ser>
          <c:idx val="0"/>
          <c:order val="0"/>
          <c:tx>
            <c:strRef>
              <c:f>'Linear Regression (Profit vs Sa'!$B$4</c:f>
              <c:strCache>
                <c:ptCount val="1"/>
                <c:pt idx="0">
                  <c:v>Sum of Sales</c:v>
                </c:pt>
              </c:strCache>
            </c:strRef>
          </c:tx>
          <c:spPr>
            <a:ln w="28575" cap="rnd">
              <a:solidFill>
                <a:schemeClr val="accent1"/>
              </a:solidFill>
              <a:round/>
            </a:ln>
            <a:effectLst/>
          </c:spPr>
          <c:marker>
            <c:symbol val="none"/>
          </c:marker>
          <c:dLbls>
            <c:delete val="1"/>
          </c:dLbls>
          <c:cat>
            <c:strRef>
              <c:f>'Linear Regression (Profit vs Sa'!$A$5:$A$17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'Linear Regression (Profit vs Sa'!$B$5:$B$17</c:f>
              <c:numCache>
                <c:formatCode>General</c:formatCode>
                <c:ptCount val="12"/>
                <c:pt idx="0">
                  <c:v>14914.65</c:v>
                </c:pt>
                <c:pt idx="1">
                  <c:v>14006.36</c:v>
                </c:pt>
                <c:pt idx="2">
                  <c:v>17655.22</c:v>
                </c:pt>
                <c:pt idx="3">
                  <c:v>22242.13</c:v>
                </c:pt>
                <c:pt idx="4">
                  <c:v>18507.34</c:v>
                </c:pt>
                <c:pt idx="5">
                  <c:v>20187.51</c:v>
                </c:pt>
                <c:pt idx="6">
                  <c:v>11609.04</c:v>
                </c:pt>
                <c:pt idx="7">
                  <c:v>10091.7</c:v>
                </c:pt>
                <c:pt idx="8">
                  <c:v>20533.5</c:v>
                </c:pt>
                <c:pt idx="9">
                  <c:v>14215.24</c:v>
                </c:pt>
                <c:pt idx="10">
                  <c:v>20135.03</c:v>
                </c:pt>
                <c:pt idx="11">
                  <c:v>11120.04</c:v>
                </c:pt>
              </c:numCache>
            </c:numRef>
          </c:val>
          <c:smooth val="0"/>
        </c:ser>
        <c:ser>
          <c:idx val="1"/>
          <c:order val="1"/>
          <c:tx>
            <c:strRef>
              <c:f>'Linear Regression (Profit vs Sa'!$C$4</c:f>
              <c:strCache>
                <c:ptCount val="1"/>
                <c:pt idx="0">
                  <c:v>Sum of Profit</c:v>
                </c:pt>
              </c:strCache>
            </c:strRef>
          </c:tx>
          <c:spPr>
            <a:ln w="28575" cap="rnd">
              <a:solidFill>
                <a:schemeClr val="accent2"/>
              </a:solidFill>
              <a:round/>
            </a:ln>
            <a:effectLst/>
          </c:spPr>
          <c:marker>
            <c:symbol val="none"/>
          </c:marker>
          <c:dLbls>
            <c:delete val="1"/>
          </c:dLbls>
          <c:cat>
            <c:strRef>
              <c:f>'Linear Regression (Profit vs Sa'!$A$5:$A$17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'Linear Regression (Profit vs Sa'!$C$5:$C$17</c:f>
              <c:numCache>
                <c:formatCode>General</c:formatCode>
                <c:ptCount val="12"/>
                <c:pt idx="0">
                  <c:v>5763.4</c:v>
                </c:pt>
                <c:pt idx="1">
                  <c:v>5039.23</c:v>
                </c:pt>
                <c:pt idx="2">
                  <c:v>7071.39</c:v>
                </c:pt>
                <c:pt idx="3">
                  <c:v>7642.86</c:v>
                </c:pt>
                <c:pt idx="4">
                  <c:v>6121.35</c:v>
                </c:pt>
                <c:pt idx="5">
                  <c:v>6918</c:v>
                </c:pt>
                <c:pt idx="6">
                  <c:v>3743.85</c:v>
                </c:pt>
                <c:pt idx="7">
                  <c:v>3302.84</c:v>
                </c:pt>
                <c:pt idx="8">
                  <c:v>7457.52</c:v>
                </c:pt>
                <c:pt idx="9">
                  <c:v>4861.7</c:v>
                </c:pt>
                <c:pt idx="10">
                  <c:v>6814.88</c:v>
                </c:pt>
                <c:pt idx="11">
                  <c:v>3549.99</c:v>
                </c:pt>
              </c:numCache>
            </c:numRef>
          </c:val>
          <c:smooth val="0"/>
        </c:ser>
        <c:dLbls>
          <c:showLegendKey val="0"/>
          <c:showVal val="0"/>
          <c:showCatName val="0"/>
          <c:showSerName val="0"/>
          <c:showPercent val="0"/>
          <c:showBubbleSize val="0"/>
        </c:dLbls>
        <c:marker val="0"/>
        <c:smooth val="0"/>
        <c:axId val="248706609"/>
        <c:axId val="216999098"/>
      </c:lineChart>
      <c:catAx>
        <c:axId val="24870660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216999098"/>
        <c:crosses val="autoZero"/>
        <c:auto val="1"/>
        <c:lblAlgn val="ctr"/>
        <c:lblOffset val="100"/>
        <c:noMultiLvlLbl val="0"/>
      </c:catAx>
      <c:valAx>
        <c:axId val="216999098"/>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en-GB" sz="1000" b="0" i="0" u="none" strike="noStrike" kern="1200" baseline="0">
                  <a:solidFill>
                    <a:schemeClr val="tx1">
                      <a:lumMod val="65000"/>
                      <a:lumOff val="35000"/>
                    </a:schemeClr>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24870660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126ff37-387f-4a08-ae13-c6faf9d11a60}"/>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GB" sz="1400" b="0" i="0" u="none" strike="noStrike" kern="1200" spc="0" baseline="0">
                <a:solidFill>
                  <a:schemeClr val="tx1">
                    <a:lumMod val="65000"/>
                    <a:lumOff val="35000"/>
                  </a:schemeClr>
                </a:solidFill>
                <a:latin typeface="+mn-lt"/>
                <a:ea typeface="+mn-ea"/>
                <a:cs typeface="+mn-cs"/>
              </a:defRPr>
            </a:pPr>
            <a:r>
              <a:rPr lang="en-US" altLang="en-GB"/>
              <a:t>Top purchase customer</a:t>
            </a:r>
            <a:endParaRPr lang="en-US" altLang="en-GB"/>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GB"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{"Robert Anderson","Michael Anderson","Mary Davis","Lisa Thomas","Lisa Davis","Linda Wilson","James Wilson","Emma Wilson","Emma Davis","David Brown"}</c:f>
              <c:strCache>
                <c:ptCount val="10"/>
                <c:pt idx="0">
                  <c:v>Robert Anderson</c:v>
                </c:pt>
                <c:pt idx="1">
                  <c:v>Michael Anderson</c:v>
                </c:pt>
                <c:pt idx="2">
                  <c:v>Mary Davis</c:v>
                </c:pt>
                <c:pt idx="3">
                  <c:v>Lisa Thomas</c:v>
                </c:pt>
                <c:pt idx="4">
                  <c:v>Lisa Davis</c:v>
                </c:pt>
                <c:pt idx="5">
                  <c:v>Linda Wilson</c:v>
                </c:pt>
                <c:pt idx="6">
                  <c:v>James Wilson</c:v>
                </c:pt>
                <c:pt idx="7">
                  <c:v>Emma Wilson</c:v>
                </c:pt>
                <c:pt idx="8">
                  <c:v>Emma Davis</c:v>
                </c:pt>
                <c:pt idx="9">
                  <c:v>David Brown</c:v>
                </c:pt>
              </c:strCache>
            </c:strRef>
          </c:cat>
          <c:val>
            <c:numRef>
              <c:f>{8331.85,7881.9,17143.29,8635.95,8090.12,9970.2,20774.74,8543.97,11398.32,11915.83}</c:f>
              <c:numCache>
                <c:formatCode>General</c:formatCode>
                <c:ptCount val="10"/>
                <c:pt idx="0">
                  <c:v>8331.85</c:v>
                </c:pt>
                <c:pt idx="1">
                  <c:v>7881.9</c:v>
                </c:pt>
                <c:pt idx="2">
                  <c:v>17143.29</c:v>
                </c:pt>
                <c:pt idx="3">
                  <c:v>8635.95</c:v>
                </c:pt>
                <c:pt idx="4">
                  <c:v>8090.12</c:v>
                </c:pt>
                <c:pt idx="5">
                  <c:v>9970.2</c:v>
                </c:pt>
                <c:pt idx="6">
                  <c:v>20774.74</c:v>
                </c:pt>
                <c:pt idx="7">
                  <c:v>8543.97</c:v>
                </c:pt>
                <c:pt idx="8">
                  <c:v>11398.32</c:v>
                </c:pt>
                <c:pt idx="9">
                  <c:v>11915.83</c:v>
                </c:pt>
              </c:numCache>
            </c:numRef>
          </c:val>
        </c:ser>
        <c:dLbls>
          <c:showLegendKey val="0"/>
          <c:showVal val="1"/>
          <c:showCatName val="0"/>
          <c:showSerName val="0"/>
          <c:showPercent val="1"/>
          <c:showBubbleSize val="1"/>
        </c:dLbls>
        <c:gapWidth val="219"/>
        <c:overlap val="-27"/>
        <c:axId val="577103592"/>
        <c:axId val="596091245"/>
      </c:barChart>
      <c:catAx>
        <c:axId val="57710359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596091245"/>
        <c:crosses val="autoZero"/>
        <c:auto val="1"/>
        <c:lblAlgn val="ctr"/>
        <c:lblOffset val="100"/>
        <c:noMultiLvlLbl val="0"/>
      </c:catAx>
      <c:valAx>
        <c:axId val="59609124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5771035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a561ab8-1791-4b15-a4b0-d9074300157f}"/>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5" Type="http://schemas.openxmlformats.org/officeDocument/2006/relationships/chart" Target="../charts/chart10.xml"/><Relationship Id="rId4" Type="http://schemas.openxmlformats.org/officeDocument/2006/relationships/chart" Target="../charts/chart9.xml"/><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901700</xdr:colOff>
      <xdr:row>16</xdr:row>
      <xdr:rowOff>60960</xdr:rowOff>
    </xdr:from>
    <xdr:to>
      <xdr:col>8</xdr:col>
      <xdr:colOff>317500</xdr:colOff>
      <xdr:row>34</xdr:row>
      <xdr:rowOff>67945</xdr:rowOff>
    </xdr:to>
    <xdr:graphicFrame>
      <xdr:nvGraphicFramePr>
        <xdr:cNvPr id="2" name="Chart 1"/>
        <xdr:cNvGraphicFramePr/>
      </xdr:nvGraphicFramePr>
      <xdr:xfrm>
        <a:off x="3561080" y="3345180"/>
        <a:ext cx="5130800" cy="3298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596900</xdr:colOff>
      <xdr:row>3</xdr:row>
      <xdr:rowOff>7620</xdr:rowOff>
    </xdr:from>
    <xdr:to>
      <xdr:col>14</xdr:col>
      <xdr:colOff>194945</xdr:colOff>
      <xdr:row>24</xdr:row>
      <xdr:rowOff>106680</xdr:rowOff>
    </xdr:to>
    <xdr:graphicFrame>
      <xdr:nvGraphicFramePr>
        <xdr:cNvPr id="2" name="Chart 1"/>
        <xdr:cNvGraphicFramePr/>
      </xdr:nvGraphicFramePr>
      <xdr:xfrm>
        <a:off x="3683000" y="640080"/>
        <a:ext cx="6303645" cy="3939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528320</xdr:colOff>
      <xdr:row>5</xdr:row>
      <xdr:rowOff>83820</xdr:rowOff>
    </xdr:from>
    <xdr:to>
      <xdr:col>11</xdr:col>
      <xdr:colOff>194945</xdr:colOff>
      <xdr:row>20</xdr:row>
      <xdr:rowOff>68580</xdr:rowOff>
    </xdr:to>
    <xdr:graphicFrame>
      <xdr:nvGraphicFramePr>
        <xdr:cNvPr id="2" name="Chart 1"/>
        <xdr:cNvGraphicFramePr/>
      </xdr:nvGraphicFramePr>
      <xdr:xfrm>
        <a:off x="2753360" y="1043940"/>
        <a:ext cx="5396865" cy="2773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528955</xdr:colOff>
      <xdr:row>21</xdr:row>
      <xdr:rowOff>17780</xdr:rowOff>
    </xdr:from>
    <xdr:to>
      <xdr:col>11</xdr:col>
      <xdr:colOff>218440</xdr:colOff>
      <xdr:row>35</xdr:row>
      <xdr:rowOff>140335</xdr:rowOff>
    </xdr:to>
    <xdr:graphicFrame>
      <xdr:nvGraphicFramePr>
        <xdr:cNvPr id="3" name="Chart 2"/>
        <xdr:cNvGraphicFramePr/>
      </xdr:nvGraphicFramePr>
      <xdr:xfrm>
        <a:off x="2753995" y="3949700"/>
        <a:ext cx="5419725" cy="27285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25400</xdr:colOff>
      <xdr:row>37</xdr:row>
      <xdr:rowOff>53340</xdr:rowOff>
    </xdr:from>
    <xdr:to>
      <xdr:col>12</xdr:col>
      <xdr:colOff>507365</xdr:colOff>
      <xdr:row>58</xdr:row>
      <xdr:rowOff>37465</xdr:rowOff>
    </xdr:to>
    <xdr:graphicFrame>
      <xdr:nvGraphicFramePr>
        <xdr:cNvPr id="5" name="Chart 4"/>
        <xdr:cNvGraphicFramePr/>
      </xdr:nvGraphicFramePr>
      <xdr:xfrm>
        <a:off x="2882900" y="7002780"/>
        <a:ext cx="6189345" cy="382460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8</xdr:col>
      <xdr:colOff>520065</xdr:colOff>
      <xdr:row>15</xdr:row>
      <xdr:rowOff>30480</xdr:rowOff>
    </xdr:to>
    <xdr:graphicFrame>
      <xdr:nvGraphicFramePr>
        <xdr:cNvPr id="2" name="Chart 1"/>
        <xdr:cNvGraphicFramePr/>
      </xdr:nvGraphicFramePr>
      <xdr:xfrm>
        <a:off x="0" y="0"/>
        <a:ext cx="5396865" cy="2773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xdr:colOff>
      <xdr:row>15</xdr:row>
      <xdr:rowOff>76200</xdr:rowOff>
    </xdr:from>
    <xdr:to>
      <xdr:col>8</xdr:col>
      <xdr:colOff>543560</xdr:colOff>
      <xdr:row>30</xdr:row>
      <xdr:rowOff>61595</xdr:rowOff>
    </xdr:to>
    <xdr:graphicFrame>
      <xdr:nvGraphicFramePr>
        <xdr:cNvPr id="3" name="Chart 2"/>
        <xdr:cNvGraphicFramePr/>
      </xdr:nvGraphicFramePr>
      <xdr:xfrm>
        <a:off x="635" y="2819400"/>
        <a:ext cx="5419725" cy="27285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0</xdr:row>
      <xdr:rowOff>0</xdr:rowOff>
    </xdr:from>
    <xdr:to>
      <xdr:col>19</xdr:col>
      <xdr:colOff>93345</xdr:colOff>
      <xdr:row>20</xdr:row>
      <xdr:rowOff>167005</xdr:rowOff>
    </xdr:to>
    <xdr:graphicFrame>
      <xdr:nvGraphicFramePr>
        <xdr:cNvPr id="4" name="Chart 3"/>
        <xdr:cNvGraphicFramePr/>
      </xdr:nvGraphicFramePr>
      <xdr:xfrm>
        <a:off x="5486400" y="0"/>
        <a:ext cx="6189345" cy="382460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19</xdr:col>
      <xdr:colOff>207645</xdr:colOff>
      <xdr:row>43</xdr:row>
      <xdr:rowOff>99060</xdr:rowOff>
    </xdr:to>
    <xdr:graphicFrame>
      <xdr:nvGraphicFramePr>
        <xdr:cNvPr id="6" name="Chart 5"/>
        <xdr:cNvGraphicFramePr/>
      </xdr:nvGraphicFramePr>
      <xdr:xfrm>
        <a:off x="5486400" y="4023360"/>
        <a:ext cx="6303645" cy="39395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xdr:colOff>
      <xdr:row>30</xdr:row>
      <xdr:rowOff>182245</xdr:rowOff>
    </xdr:from>
    <xdr:to>
      <xdr:col>8</xdr:col>
      <xdr:colOff>558800</xdr:colOff>
      <xdr:row>48</xdr:row>
      <xdr:rowOff>64770</xdr:rowOff>
    </xdr:to>
    <xdr:graphicFrame>
      <xdr:nvGraphicFramePr>
        <xdr:cNvPr id="7" name="Chart 6"/>
        <xdr:cNvGraphicFramePr/>
      </xdr:nvGraphicFramePr>
      <xdr:xfrm>
        <a:off x="7620" y="5668645"/>
        <a:ext cx="5427980" cy="317436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ishi\OneDrive\Desktop\krina.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ject Instructions"/>
      <sheetName val="Scenario Summary"/>
      <sheetName val="Descriptive Stat"/>
      <sheetName val="What if"/>
      <sheetName val="Linear reg"/>
      <sheetName val="Dashboard"/>
      <sheetName val="Sheet14"/>
      <sheetName val="Sheet15"/>
      <sheetName val="Sheet16"/>
      <sheetName val="Sheet17"/>
      <sheetName val="Sheet19"/>
      <sheetName val="Dataset"/>
      <sheetName val="Sheet1"/>
      <sheetName val="Obj1"/>
    </sheetNames>
    <sheetDataSet>
      <sheetData sheetId="0"/>
      <sheetData sheetId="1"/>
      <sheetData sheetId="2"/>
      <sheetData sheetId="3"/>
      <sheetData sheetId="4"/>
      <sheetData sheetId="5"/>
      <sheetData sheetId="6"/>
      <sheetData sheetId="7"/>
      <sheetData sheetId="8"/>
      <sheetData sheetId="9"/>
      <sheetData sheetId="10"/>
      <sheetData sheetId="11">
        <row r="1">
          <cell r="A1" t="str">
            <v>Customer_ID</v>
          </cell>
          <cell r="B1" t="str">
            <v>Customer_Name</v>
          </cell>
          <cell r="C1" t="str">
            <v>Region</v>
          </cell>
          <cell r="D1" t="str">
            <v>Product_Category</v>
          </cell>
          <cell r="E1" t="str">
            <v>Sales</v>
          </cell>
          <cell r="F1" t="str">
            <v>Quantity</v>
          </cell>
          <cell r="G1" t="str">
            <v>Discount</v>
          </cell>
          <cell r="H1" t="str">
            <v>Order_Date</v>
          </cell>
          <cell r="I1" t="str">
            <v>Profit</v>
          </cell>
        </row>
        <row r="2">
          <cell r="A2" t="str">
            <v>CUST019</v>
          </cell>
          <cell r="B2" t="str">
            <v>James Davis</v>
          </cell>
          <cell r="C2" t="str">
            <v>West</v>
          </cell>
          <cell r="D2" t="str">
            <v>Books</v>
          </cell>
          <cell r="E2">
            <v>1036.09</v>
          </cell>
          <cell r="F2">
            <v>4</v>
          </cell>
          <cell r="G2">
            <v>0.2</v>
          </cell>
          <cell r="H2">
            <v>45392</v>
          </cell>
          <cell r="I2">
            <v>331.55</v>
          </cell>
        </row>
        <row r="3">
          <cell r="A3" t="str">
            <v>CUST012</v>
          </cell>
          <cell r="B3" t="str">
            <v>Robert Anderson</v>
          </cell>
          <cell r="C3" t="str">
            <v>West</v>
          </cell>
          <cell r="D3" t="str">
            <v>Clothing</v>
          </cell>
          <cell r="E3">
            <v>1101.28</v>
          </cell>
          <cell r="F3">
            <v>3</v>
          </cell>
          <cell r="G3">
            <v>0.2</v>
          </cell>
          <cell r="H3">
            <v>45393</v>
          </cell>
          <cell r="I3">
            <v>440.51</v>
          </cell>
        </row>
        <row r="4">
          <cell r="A4" t="str">
            <v>CUST017</v>
          </cell>
          <cell r="B4" t="str">
            <v>James Taylor</v>
          </cell>
          <cell r="C4" t="str">
            <v>East</v>
          </cell>
          <cell r="D4" t="str">
            <v>Books</v>
          </cell>
          <cell r="E4">
            <v>713.34</v>
          </cell>
          <cell r="F4">
            <v>17</v>
          </cell>
          <cell r="G4">
            <v>0</v>
          </cell>
          <cell r="H4">
            <v>45396</v>
          </cell>
          <cell r="I4">
            <v>285.34</v>
          </cell>
        </row>
        <row r="5">
          <cell r="A5" t="str">
            <v>CUST005</v>
          </cell>
          <cell r="B5" t="str">
            <v>Robert Anderson</v>
          </cell>
          <cell r="C5" t="str">
            <v>South</v>
          </cell>
          <cell r="D5" t="str">
            <v>Electronics</v>
          </cell>
          <cell r="E5">
            <v>760.93</v>
          </cell>
          <cell r="F5">
            <v>4</v>
          </cell>
          <cell r="G5">
            <v>0.15</v>
          </cell>
          <cell r="H5">
            <v>45396</v>
          </cell>
          <cell r="I5">
            <v>161.7</v>
          </cell>
        </row>
        <row r="6">
          <cell r="A6" t="str">
            <v>CUST030</v>
          </cell>
          <cell r="B6" t="str">
            <v>James Wilson</v>
          </cell>
          <cell r="C6" t="str">
            <v>North</v>
          </cell>
          <cell r="D6" t="str">
            <v>Books</v>
          </cell>
          <cell r="E6">
            <v>847</v>
          </cell>
          <cell r="F6">
            <v>12</v>
          </cell>
          <cell r="G6">
            <v>0.2</v>
          </cell>
          <cell r="H6">
            <v>45397</v>
          </cell>
          <cell r="I6">
            <v>271.04</v>
          </cell>
        </row>
        <row r="7">
          <cell r="A7" t="str">
            <v>CUST007</v>
          </cell>
          <cell r="B7" t="str">
            <v>Michael Anderson</v>
          </cell>
          <cell r="C7" t="str">
            <v>North</v>
          </cell>
          <cell r="D7" t="str">
            <v>Furniture</v>
          </cell>
          <cell r="E7">
            <v>965.64</v>
          </cell>
          <cell r="F7">
            <v>8</v>
          </cell>
          <cell r="G7">
            <v>0.1</v>
          </cell>
          <cell r="H7">
            <v>45398</v>
          </cell>
          <cell r="I7">
            <v>304.18</v>
          </cell>
        </row>
        <row r="8">
          <cell r="A8" t="str">
            <v>CUST001</v>
          </cell>
          <cell r="B8" t="str">
            <v>Linda Wilson</v>
          </cell>
          <cell r="C8" t="str">
            <v>West</v>
          </cell>
          <cell r="D8" t="str">
            <v>Electronics</v>
          </cell>
          <cell r="E8">
            <v>1317.53</v>
          </cell>
          <cell r="F8">
            <v>12</v>
          </cell>
          <cell r="G8">
            <v>0.05</v>
          </cell>
          <cell r="H8">
            <v>45398</v>
          </cell>
          <cell r="I8">
            <v>312.91</v>
          </cell>
        </row>
        <row r="9">
          <cell r="A9" t="str">
            <v>CUST026</v>
          </cell>
          <cell r="B9" t="str">
            <v>Mary Davis</v>
          </cell>
          <cell r="C9" t="str">
            <v>East</v>
          </cell>
          <cell r="D9" t="str">
            <v>Furniture</v>
          </cell>
          <cell r="E9">
            <v>1074.47</v>
          </cell>
          <cell r="F9">
            <v>6</v>
          </cell>
          <cell r="G9">
            <v>0.2</v>
          </cell>
          <cell r="H9">
            <v>45401</v>
          </cell>
          <cell r="I9">
            <v>300.85</v>
          </cell>
        </row>
        <row r="10">
          <cell r="A10" t="str">
            <v>CUST009</v>
          </cell>
          <cell r="B10" t="str">
            <v>Linda Jackson</v>
          </cell>
          <cell r="C10" t="str">
            <v>Central</v>
          </cell>
          <cell r="D10" t="str">
            <v>Books</v>
          </cell>
          <cell r="E10">
            <v>501.54</v>
          </cell>
          <cell r="F10">
            <v>11</v>
          </cell>
          <cell r="G10">
            <v>0.05</v>
          </cell>
          <cell r="H10">
            <v>45401</v>
          </cell>
          <cell r="I10">
            <v>190.59</v>
          </cell>
        </row>
        <row r="11">
          <cell r="A11" t="str">
            <v>CUST010</v>
          </cell>
          <cell r="B11" t="str">
            <v>David Thomas</v>
          </cell>
          <cell r="C11" t="str">
            <v>Central</v>
          </cell>
          <cell r="D11" t="str">
            <v>Clothing</v>
          </cell>
          <cell r="E11">
            <v>737.31</v>
          </cell>
          <cell r="F11">
            <v>2</v>
          </cell>
          <cell r="G11">
            <v>0.05</v>
          </cell>
          <cell r="H11">
            <v>45401</v>
          </cell>
          <cell r="I11">
            <v>350.22</v>
          </cell>
        </row>
        <row r="12">
          <cell r="A12" t="str">
            <v>CUST014</v>
          </cell>
          <cell r="B12" t="str">
            <v>Emma Davis</v>
          </cell>
          <cell r="C12" t="str">
            <v>West</v>
          </cell>
          <cell r="D12" t="str">
            <v>Office Supplies</v>
          </cell>
          <cell r="E12">
            <v>1572.82</v>
          </cell>
          <cell r="F12">
            <v>6</v>
          </cell>
          <cell r="G12">
            <v>0.05</v>
          </cell>
          <cell r="H12">
            <v>45402</v>
          </cell>
          <cell r="I12">
            <v>672.38</v>
          </cell>
        </row>
        <row r="13">
          <cell r="A13" t="str">
            <v>CUST014</v>
          </cell>
          <cell r="B13" t="str">
            <v>David Thomas</v>
          </cell>
          <cell r="C13" t="str">
            <v>Central</v>
          </cell>
          <cell r="D13" t="str">
            <v>Books</v>
          </cell>
          <cell r="E13">
            <v>1343.13</v>
          </cell>
          <cell r="F13">
            <v>14</v>
          </cell>
          <cell r="G13">
            <v>0.15</v>
          </cell>
          <cell r="H13">
            <v>45404</v>
          </cell>
          <cell r="I13">
            <v>456.66</v>
          </cell>
        </row>
        <row r="14">
          <cell r="A14" t="str">
            <v>CUST007</v>
          </cell>
          <cell r="B14" t="str">
            <v>Michael Anderson</v>
          </cell>
          <cell r="C14" t="str">
            <v>Central</v>
          </cell>
          <cell r="D14" t="str">
            <v>Books</v>
          </cell>
          <cell r="E14">
            <v>1191.58</v>
          </cell>
          <cell r="F14">
            <v>14</v>
          </cell>
          <cell r="G14">
            <v>0.05</v>
          </cell>
          <cell r="H14">
            <v>45406</v>
          </cell>
          <cell r="I14">
            <v>452.8</v>
          </cell>
        </row>
        <row r="15">
          <cell r="A15" t="str">
            <v>CUST023</v>
          </cell>
          <cell r="B15" t="str">
            <v>Robert Anderson</v>
          </cell>
          <cell r="C15" t="str">
            <v>West</v>
          </cell>
          <cell r="D15" t="str">
            <v>Furniture</v>
          </cell>
          <cell r="E15">
            <v>822.28</v>
          </cell>
          <cell r="F15">
            <v>7</v>
          </cell>
          <cell r="G15">
            <v>0.05</v>
          </cell>
          <cell r="H15">
            <v>45406</v>
          </cell>
          <cell r="I15">
            <v>273.41</v>
          </cell>
        </row>
        <row r="16">
          <cell r="A16" t="str">
            <v>CUST029</v>
          </cell>
          <cell r="B16" t="str">
            <v>David Smith</v>
          </cell>
          <cell r="C16" t="str">
            <v>North</v>
          </cell>
          <cell r="D16" t="str">
            <v>Furniture</v>
          </cell>
          <cell r="E16">
            <v>521.67</v>
          </cell>
          <cell r="F16">
            <v>15</v>
          </cell>
          <cell r="G16">
            <v>0.15</v>
          </cell>
          <cell r="H16">
            <v>45409</v>
          </cell>
          <cell r="I16">
            <v>155.2</v>
          </cell>
        </row>
        <row r="17">
          <cell r="A17" t="str">
            <v>CUST005</v>
          </cell>
          <cell r="B17" t="str">
            <v>Sarah Anderson</v>
          </cell>
          <cell r="C17" t="str">
            <v>South</v>
          </cell>
          <cell r="D17" t="str">
            <v>Electronics</v>
          </cell>
          <cell r="E17">
            <v>1502.93</v>
          </cell>
          <cell r="F17">
            <v>14</v>
          </cell>
          <cell r="G17">
            <v>0.2</v>
          </cell>
          <cell r="H17">
            <v>45410</v>
          </cell>
          <cell r="I17">
            <v>300.59</v>
          </cell>
        </row>
        <row r="18">
          <cell r="A18" t="str">
            <v>CUST008</v>
          </cell>
          <cell r="B18" t="str">
            <v>Robert Anderson</v>
          </cell>
          <cell r="C18" t="str">
            <v>South</v>
          </cell>
          <cell r="D18" t="str">
            <v>Books</v>
          </cell>
          <cell r="E18">
            <v>877.58</v>
          </cell>
          <cell r="F18">
            <v>10</v>
          </cell>
          <cell r="G18">
            <v>0.15</v>
          </cell>
          <cell r="H18">
            <v>45411</v>
          </cell>
          <cell r="I18">
            <v>298.38</v>
          </cell>
        </row>
        <row r="19">
          <cell r="A19" t="str">
            <v>CUST001</v>
          </cell>
          <cell r="B19" t="str">
            <v>Lisa Thomas</v>
          </cell>
          <cell r="C19" t="str">
            <v>West</v>
          </cell>
          <cell r="D19" t="str">
            <v>Books</v>
          </cell>
          <cell r="E19">
            <v>636.7</v>
          </cell>
          <cell r="F19">
            <v>4</v>
          </cell>
          <cell r="G19">
            <v>0.2</v>
          </cell>
          <cell r="H19">
            <v>45411</v>
          </cell>
          <cell r="I19">
            <v>203.74</v>
          </cell>
        </row>
        <row r="20">
          <cell r="A20" t="str">
            <v>CUST006</v>
          </cell>
          <cell r="B20" t="str">
            <v>Mary Jackson</v>
          </cell>
          <cell r="C20" t="str">
            <v>West</v>
          </cell>
          <cell r="D20" t="str">
            <v>Books</v>
          </cell>
          <cell r="E20">
            <v>1506.14</v>
          </cell>
          <cell r="F20">
            <v>13</v>
          </cell>
          <cell r="G20">
            <v>0.2</v>
          </cell>
          <cell r="H20">
            <v>45412</v>
          </cell>
          <cell r="I20">
            <v>481.96</v>
          </cell>
        </row>
        <row r="21">
          <cell r="A21" t="str">
            <v>CUST026</v>
          </cell>
          <cell r="B21" t="str">
            <v>Mary Davis</v>
          </cell>
          <cell r="C21" t="str">
            <v>Central</v>
          </cell>
          <cell r="D21" t="str">
            <v>Electronics</v>
          </cell>
          <cell r="E21">
            <v>645.02</v>
          </cell>
          <cell r="F21">
            <v>4</v>
          </cell>
          <cell r="G21">
            <v>0</v>
          </cell>
          <cell r="H21">
            <v>45414</v>
          </cell>
          <cell r="I21">
            <v>161.26</v>
          </cell>
        </row>
        <row r="22">
          <cell r="A22" t="str">
            <v>CUST007</v>
          </cell>
          <cell r="B22" t="str">
            <v>Lisa Davis</v>
          </cell>
          <cell r="C22" t="str">
            <v>South</v>
          </cell>
          <cell r="D22" t="str">
            <v>Clothing</v>
          </cell>
          <cell r="E22">
            <v>953.3</v>
          </cell>
          <cell r="F22">
            <v>11</v>
          </cell>
          <cell r="G22">
            <v>0</v>
          </cell>
          <cell r="H22">
            <v>45415</v>
          </cell>
          <cell r="I22">
            <v>476.65</v>
          </cell>
        </row>
        <row r="23">
          <cell r="A23" t="str">
            <v>CUST022</v>
          </cell>
          <cell r="B23" t="str">
            <v>Robert Anderson</v>
          </cell>
          <cell r="C23" t="str">
            <v>North</v>
          </cell>
          <cell r="D23" t="str">
            <v>Electronics</v>
          </cell>
          <cell r="E23">
            <v>388.56</v>
          </cell>
          <cell r="F23">
            <v>14</v>
          </cell>
          <cell r="G23">
            <v>0.15</v>
          </cell>
          <cell r="H23">
            <v>45416</v>
          </cell>
          <cell r="I23">
            <v>82.57</v>
          </cell>
        </row>
        <row r="24">
          <cell r="A24" t="str">
            <v>CUST019</v>
          </cell>
          <cell r="B24" t="str">
            <v>Mary Davis</v>
          </cell>
          <cell r="C24" t="str">
            <v>West</v>
          </cell>
          <cell r="D24" t="str">
            <v>Books</v>
          </cell>
          <cell r="E24">
            <v>743.17</v>
          </cell>
          <cell r="F24">
            <v>9</v>
          </cell>
          <cell r="G24">
            <v>0</v>
          </cell>
          <cell r="H24">
            <v>45416</v>
          </cell>
          <cell r="I24">
            <v>297.27</v>
          </cell>
        </row>
        <row r="25">
          <cell r="A25" t="str">
            <v>CUST023</v>
          </cell>
          <cell r="B25" t="str">
            <v>Mary Davis</v>
          </cell>
          <cell r="C25" t="str">
            <v>Central</v>
          </cell>
          <cell r="D25" t="str">
            <v>Electronics</v>
          </cell>
          <cell r="E25">
            <v>706.37</v>
          </cell>
          <cell r="F25">
            <v>6</v>
          </cell>
          <cell r="G25">
            <v>0</v>
          </cell>
          <cell r="H25">
            <v>45416</v>
          </cell>
          <cell r="I25">
            <v>176.59</v>
          </cell>
        </row>
        <row r="26">
          <cell r="A26" t="str">
            <v>CUST012</v>
          </cell>
          <cell r="B26" t="str">
            <v>Mary Davis</v>
          </cell>
          <cell r="C26" t="str">
            <v>Central</v>
          </cell>
          <cell r="D26" t="str">
            <v>Office Supplies</v>
          </cell>
          <cell r="E26">
            <v>925.31</v>
          </cell>
          <cell r="F26">
            <v>8</v>
          </cell>
          <cell r="G26">
            <v>0.1</v>
          </cell>
          <cell r="H26">
            <v>45418</v>
          </cell>
          <cell r="I26">
            <v>374.75</v>
          </cell>
        </row>
        <row r="27">
          <cell r="A27" t="str">
            <v>CUST010</v>
          </cell>
          <cell r="B27" t="str">
            <v>Linda Brown</v>
          </cell>
          <cell r="C27" t="str">
            <v>South</v>
          </cell>
          <cell r="D27" t="str">
            <v>Electronics</v>
          </cell>
          <cell r="E27">
            <v>1173.12</v>
          </cell>
          <cell r="F27">
            <v>18</v>
          </cell>
          <cell r="G27">
            <v>0</v>
          </cell>
          <cell r="H27">
            <v>45418</v>
          </cell>
          <cell r="I27">
            <v>293.28</v>
          </cell>
        </row>
        <row r="28">
          <cell r="A28" t="str">
            <v>CUST030</v>
          </cell>
          <cell r="B28" t="str">
            <v>John Brown</v>
          </cell>
          <cell r="C28" t="str">
            <v>North</v>
          </cell>
          <cell r="D28" t="str">
            <v>Furniture</v>
          </cell>
          <cell r="E28">
            <v>675.54</v>
          </cell>
          <cell r="F28">
            <v>17</v>
          </cell>
          <cell r="G28">
            <v>0</v>
          </cell>
          <cell r="H28">
            <v>45420</v>
          </cell>
          <cell r="I28">
            <v>236.44</v>
          </cell>
        </row>
        <row r="29">
          <cell r="A29" t="str">
            <v>CUST007</v>
          </cell>
          <cell r="B29" t="str">
            <v>Robert Anderson</v>
          </cell>
          <cell r="C29" t="str">
            <v>Central</v>
          </cell>
          <cell r="D29" t="str">
            <v>Books</v>
          </cell>
          <cell r="E29">
            <v>939.09</v>
          </cell>
          <cell r="F29">
            <v>2</v>
          </cell>
          <cell r="G29">
            <v>0.05</v>
          </cell>
          <cell r="H29">
            <v>45422</v>
          </cell>
          <cell r="I29">
            <v>356.85</v>
          </cell>
        </row>
        <row r="30">
          <cell r="A30" t="str">
            <v>CUST028</v>
          </cell>
          <cell r="B30" t="str">
            <v>Linda Taylor</v>
          </cell>
          <cell r="C30" t="str">
            <v>East</v>
          </cell>
          <cell r="D30" t="str">
            <v>Office Supplies</v>
          </cell>
          <cell r="E30">
            <v>983.34</v>
          </cell>
          <cell r="F30">
            <v>19</v>
          </cell>
          <cell r="G30">
            <v>0.1</v>
          </cell>
          <cell r="H30">
            <v>45426</v>
          </cell>
          <cell r="I30">
            <v>398.25</v>
          </cell>
        </row>
        <row r="31">
          <cell r="A31" t="str">
            <v>CUST028</v>
          </cell>
          <cell r="B31" t="str">
            <v>James Wilson</v>
          </cell>
          <cell r="C31" t="str">
            <v>South</v>
          </cell>
          <cell r="D31" t="str">
            <v>Electronics</v>
          </cell>
          <cell r="E31">
            <v>801.21</v>
          </cell>
          <cell r="F31">
            <v>3</v>
          </cell>
          <cell r="G31">
            <v>0.2</v>
          </cell>
          <cell r="H31">
            <v>45426</v>
          </cell>
          <cell r="I31">
            <v>160.24</v>
          </cell>
        </row>
        <row r="32">
          <cell r="A32" t="str">
            <v>CUST025</v>
          </cell>
          <cell r="B32" t="str">
            <v>David Brown</v>
          </cell>
          <cell r="C32" t="str">
            <v>North</v>
          </cell>
          <cell r="D32" t="str">
            <v>Electronics</v>
          </cell>
          <cell r="E32">
            <v>1450.71</v>
          </cell>
          <cell r="F32">
            <v>5</v>
          </cell>
          <cell r="G32">
            <v>0.1</v>
          </cell>
          <cell r="H32">
            <v>45427</v>
          </cell>
          <cell r="I32">
            <v>326.41</v>
          </cell>
        </row>
        <row r="33">
          <cell r="A33" t="str">
            <v>CUST022</v>
          </cell>
          <cell r="B33" t="str">
            <v>David Davis</v>
          </cell>
          <cell r="C33" t="str">
            <v>Central</v>
          </cell>
          <cell r="D33" t="str">
            <v>Books</v>
          </cell>
          <cell r="E33">
            <v>1023.21</v>
          </cell>
          <cell r="F33">
            <v>18</v>
          </cell>
          <cell r="G33">
            <v>0.05</v>
          </cell>
          <cell r="H33">
            <v>45428</v>
          </cell>
          <cell r="I33">
            <v>388.82</v>
          </cell>
        </row>
        <row r="34">
          <cell r="A34" t="str">
            <v>CUST001</v>
          </cell>
          <cell r="B34" t="str">
            <v>Mary Jackson</v>
          </cell>
          <cell r="C34" t="str">
            <v>West</v>
          </cell>
          <cell r="D34" t="str">
            <v>Furniture</v>
          </cell>
          <cell r="E34">
            <v>853.72</v>
          </cell>
          <cell r="F34">
            <v>5</v>
          </cell>
          <cell r="G34">
            <v>0.15</v>
          </cell>
          <cell r="H34">
            <v>45428</v>
          </cell>
          <cell r="I34">
            <v>253.98</v>
          </cell>
        </row>
        <row r="35">
          <cell r="A35" t="str">
            <v>CUST021</v>
          </cell>
          <cell r="B35" t="str">
            <v>Sarah Anderson</v>
          </cell>
          <cell r="C35" t="str">
            <v>South</v>
          </cell>
          <cell r="D35" t="str">
            <v>Electronics</v>
          </cell>
          <cell r="E35">
            <v>967.89</v>
          </cell>
          <cell r="F35">
            <v>10</v>
          </cell>
          <cell r="G35">
            <v>0.1</v>
          </cell>
          <cell r="H35">
            <v>45429</v>
          </cell>
          <cell r="I35">
            <v>217.78</v>
          </cell>
        </row>
        <row r="36">
          <cell r="A36" t="str">
            <v>CUST015</v>
          </cell>
          <cell r="B36" t="str">
            <v>Linda Taylor</v>
          </cell>
          <cell r="C36" t="str">
            <v>North</v>
          </cell>
          <cell r="D36" t="str">
            <v>Office Supplies</v>
          </cell>
          <cell r="E36">
            <v>1200.9</v>
          </cell>
          <cell r="F36">
            <v>14</v>
          </cell>
          <cell r="G36">
            <v>0.05</v>
          </cell>
          <cell r="H36">
            <v>45429</v>
          </cell>
          <cell r="I36">
            <v>513.38</v>
          </cell>
        </row>
        <row r="37">
          <cell r="A37" t="str">
            <v>CUST012</v>
          </cell>
          <cell r="B37" t="str">
            <v>Michael Anderson</v>
          </cell>
          <cell r="C37" t="str">
            <v>West</v>
          </cell>
          <cell r="D37" t="str">
            <v>Books</v>
          </cell>
          <cell r="E37">
            <v>472.38</v>
          </cell>
          <cell r="F37">
            <v>12</v>
          </cell>
          <cell r="G37">
            <v>0.2</v>
          </cell>
          <cell r="H37">
            <v>45429</v>
          </cell>
          <cell r="I37">
            <v>151.16</v>
          </cell>
        </row>
        <row r="38">
          <cell r="A38" t="str">
            <v>CUST019</v>
          </cell>
          <cell r="B38" t="str">
            <v>David Brown</v>
          </cell>
          <cell r="C38" t="str">
            <v>East</v>
          </cell>
          <cell r="D38" t="str">
            <v>Office Supplies</v>
          </cell>
          <cell r="E38">
            <v>840.92</v>
          </cell>
          <cell r="F38">
            <v>9</v>
          </cell>
          <cell r="G38">
            <v>0.05</v>
          </cell>
          <cell r="H38">
            <v>45429</v>
          </cell>
          <cell r="I38">
            <v>359.49</v>
          </cell>
        </row>
        <row r="39">
          <cell r="A39" t="str">
            <v>CUST028</v>
          </cell>
          <cell r="B39" t="str">
            <v>Lisa Davis</v>
          </cell>
          <cell r="C39" t="str">
            <v>Central</v>
          </cell>
          <cell r="D39" t="str">
            <v>Furniture</v>
          </cell>
          <cell r="E39">
            <v>1410.06</v>
          </cell>
          <cell r="F39">
            <v>11</v>
          </cell>
          <cell r="G39">
            <v>0.05</v>
          </cell>
          <cell r="H39">
            <v>45434</v>
          </cell>
          <cell r="I39">
            <v>468.84</v>
          </cell>
        </row>
        <row r="40">
          <cell r="A40" t="str">
            <v>CUST008</v>
          </cell>
          <cell r="B40" t="str">
            <v>Mary Wilson</v>
          </cell>
          <cell r="C40" t="str">
            <v>Central</v>
          </cell>
          <cell r="D40" t="str">
            <v>Furniture</v>
          </cell>
          <cell r="E40">
            <v>773.09</v>
          </cell>
          <cell r="F40">
            <v>13</v>
          </cell>
          <cell r="G40">
            <v>0.15</v>
          </cell>
          <cell r="H40">
            <v>45434</v>
          </cell>
          <cell r="I40">
            <v>229.99</v>
          </cell>
        </row>
        <row r="41">
          <cell r="A41" t="str">
            <v>CUST016</v>
          </cell>
          <cell r="B41" t="str">
            <v>Emma Wilson</v>
          </cell>
          <cell r="C41" t="str">
            <v>East</v>
          </cell>
          <cell r="D41" t="str">
            <v>Books</v>
          </cell>
          <cell r="E41">
            <v>580.43</v>
          </cell>
          <cell r="F41">
            <v>19</v>
          </cell>
          <cell r="G41">
            <v>0.15</v>
          </cell>
          <cell r="H41">
            <v>45435</v>
          </cell>
          <cell r="I41">
            <v>197.35</v>
          </cell>
        </row>
        <row r="42">
          <cell r="A42" t="str">
            <v>CUST005</v>
          </cell>
          <cell r="B42" t="str">
            <v>David Smith</v>
          </cell>
          <cell r="C42" t="str">
            <v>South</v>
          </cell>
          <cell r="D42" t="str">
            <v>Books</v>
          </cell>
          <cell r="E42">
            <v>1151.21</v>
          </cell>
          <cell r="F42">
            <v>15</v>
          </cell>
          <cell r="G42">
            <v>0.1</v>
          </cell>
          <cell r="H42">
            <v>45445</v>
          </cell>
          <cell r="I42">
            <v>414.44</v>
          </cell>
        </row>
        <row r="43">
          <cell r="A43" t="str">
            <v>CUST028</v>
          </cell>
          <cell r="B43" t="str">
            <v>James Wilson</v>
          </cell>
          <cell r="C43" t="str">
            <v>Central</v>
          </cell>
          <cell r="D43" t="str">
            <v>Office Supplies</v>
          </cell>
          <cell r="E43">
            <v>1025.98</v>
          </cell>
          <cell r="F43">
            <v>5</v>
          </cell>
          <cell r="G43">
            <v>0.2</v>
          </cell>
          <cell r="H43">
            <v>45447</v>
          </cell>
          <cell r="I43">
            <v>369.35</v>
          </cell>
        </row>
        <row r="44">
          <cell r="A44" t="str">
            <v>CUST023</v>
          </cell>
          <cell r="B44" t="str">
            <v>David Davis</v>
          </cell>
          <cell r="C44" t="str">
            <v>East</v>
          </cell>
          <cell r="D44" t="str">
            <v>Office Supplies</v>
          </cell>
          <cell r="E44">
            <v>556.42</v>
          </cell>
          <cell r="F44">
            <v>11</v>
          </cell>
          <cell r="G44">
            <v>0.15</v>
          </cell>
          <cell r="H44">
            <v>45447</v>
          </cell>
          <cell r="I44">
            <v>212.83</v>
          </cell>
        </row>
        <row r="45">
          <cell r="A45" t="str">
            <v>CUST021</v>
          </cell>
          <cell r="B45" t="str">
            <v>James Wilson</v>
          </cell>
          <cell r="C45" t="str">
            <v>Central</v>
          </cell>
          <cell r="D45" t="str">
            <v>Books</v>
          </cell>
          <cell r="E45">
            <v>840.85</v>
          </cell>
          <cell r="F45">
            <v>19</v>
          </cell>
          <cell r="G45">
            <v>0.1</v>
          </cell>
          <cell r="H45">
            <v>45448</v>
          </cell>
          <cell r="I45">
            <v>302.71</v>
          </cell>
        </row>
        <row r="46">
          <cell r="A46" t="str">
            <v>CUST026</v>
          </cell>
          <cell r="B46" t="str">
            <v>Emma Wilson</v>
          </cell>
          <cell r="C46" t="str">
            <v>North</v>
          </cell>
          <cell r="D46" t="str">
            <v>Furniture</v>
          </cell>
          <cell r="E46">
            <v>1227.25</v>
          </cell>
          <cell r="F46">
            <v>12</v>
          </cell>
          <cell r="G46">
            <v>0.15</v>
          </cell>
          <cell r="H46">
            <v>45448</v>
          </cell>
          <cell r="I46">
            <v>365.11</v>
          </cell>
        </row>
        <row r="47">
          <cell r="A47" t="str">
            <v>CUST017</v>
          </cell>
          <cell r="B47" t="str">
            <v>Linda Davis</v>
          </cell>
          <cell r="C47" t="str">
            <v>Central</v>
          </cell>
          <cell r="D47" t="str">
            <v>Electronics</v>
          </cell>
          <cell r="E47">
            <v>856.7</v>
          </cell>
          <cell r="F47">
            <v>2</v>
          </cell>
          <cell r="G47">
            <v>0</v>
          </cell>
          <cell r="H47">
            <v>45449</v>
          </cell>
          <cell r="I47">
            <v>214.18</v>
          </cell>
        </row>
        <row r="48">
          <cell r="A48" t="str">
            <v>CUST025</v>
          </cell>
          <cell r="B48" t="str">
            <v>David Davis</v>
          </cell>
          <cell r="C48" t="str">
            <v>Central</v>
          </cell>
          <cell r="D48" t="str">
            <v>Office Supplies</v>
          </cell>
          <cell r="E48">
            <v>1225.42</v>
          </cell>
          <cell r="F48">
            <v>8</v>
          </cell>
          <cell r="G48">
            <v>0.15</v>
          </cell>
          <cell r="H48">
            <v>45449</v>
          </cell>
          <cell r="I48">
            <v>468.72</v>
          </cell>
        </row>
        <row r="49">
          <cell r="A49" t="str">
            <v>CUST011</v>
          </cell>
          <cell r="B49" t="str">
            <v>Mary Davis</v>
          </cell>
          <cell r="C49" t="str">
            <v>North</v>
          </cell>
          <cell r="D49" t="str">
            <v>Office Supplies</v>
          </cell>
          <cell r="E49">
            <v>1001.57</v>
          </cell>
          <cell r="F49">
            <v>12</v>
          </cell>
          <cell r="G49">
            <v>0</v>
          </cell>
          <cell r="H49">
            <v>45450</v>
          </cell>
          <cell r="I49">
            <v>450.71</v>
          </cell>
        </row>
        <row r="50">
          <cell r="A50" t="str">
            <v>CUST021</v>
          </cell>
          <cell r="B50" t="str">
            <v>Michael Anderson</v>
          </cell>
          <cell r="C50" t="str">
            <v>East</v>
          </cell>
          <cell r="D50" t="str">
            <v>Furniture</v>
          </cell>
          <cell r="E50">
            <v>1186.85</v>
          </cell>
          <cell r="F50">
            <v>19</v>
          </cell>
          <cell r="G50">
            <v>0.2</v>
          </cell>
          <cell r="H50">
            <v>45451</v>
          </cell>
          <cell r="I50">
            <v>332.32</v>
          </cell>
        </row>
        <row r="51">
          <cell r="A51" t="str">
            <v>CUST008</v>
          </cell>
          <cell r="B51" t="str">
            <v>John Brown</v>
          </cell>
          <cell r="C51" t="str">
            <v>South</v>
          </cell>
          <cell r="D51" t="str">
            <v>Electronics</v>
          </cell>
          <cell r="E51">
            <v>775.45</v>
          </cell>
          <cell r="F51">
            <v>6</v>
          </cell>
          <cell r="G51">
            <v>0.1</v>
          </cell>
          <cell r="H51">
            <v>45457</v>
          </cell>
          <cell r="I51">
            <v>174.48</v>
          </cell>
        </row>
        <row r="52">
          <cell r="A52" t="str">
            <v>CUST007</v>
          </cell>
          <cell r="B52" t="str">
            <v>Linda Jackson</v>
          </cell>
          <cell r="C52" t="str">
            <v>South</v>
          </cell>
          <cell r="D52" t="str">
            <v>Electronics</v>
          </cell>
          <cell r="E52">
            <v>1021.47</v>
          </cell>
          <cell r="F52">
            <v>6</v>
          </cell>
          <cell r="G52">
            <v>0.05</v>
          </cell>
          <cell r="H52">
            <v>45461</v>
          </cell>
          <cell r="I52">
            <v>242.6</v>
          </cell>
        </row>
        <row r="53">
          <cell r="A53" t="str">
            <v>CUST015</v>
          </cell>
          <cell r="B53" t="str">
            <v>James Wilson</v>
          </cell>
          <cell r="C53" t="str">
            <v>South</v>
          </cell>
          <cell r="D53" t="str">
            <v>Clothing</v>
          </cell>
          <cell r="E53">
            <v>1226.62</v>
          </cell>
          <cell r="F53">
            <v>7</v>
          </cell>
          <cell r="G53">
            <v>0.1</v>
          </cell>
          <cell r="H53">
            <v>45463</v>
          </cell>
          <cell r="I53">
            <v>551.98</v>
          </cell>
        </row>
        <row r="54">
          <cell r="A54" t="str">
            <v>CUST030</v>
          </cell>
          <cell r="B54" t="str">
            <v>Sarah Davis</v>
          </cell>
          <cell r="C54" t="str">
            <v>South</v>
          </cell>
          <cell r="D54" t="str">
            <v>Furniture</v>
          </cell>
          <cell r="E54">
            <v>1086.93</v>
          </cell>
          <cell r="F54">
            <v>2</v>
          </cell>
          <cell r="G54">
            <v>0</v>
          </cell>
          <cell r="H54">
            <v>45464</v>
          </cell>
          <cell r="I54">
            <v>380.43</v>
          </cell>
        </row>
        <row r="55">
          <cell r="A55" t="str">
            <v>CUST002</v>
          </cell>
          <cell r="B55" t="str">
            <v>Lisa Davis</v>
          </cell>
          <cell r="C55" t="str">
            <v>West</v>
          </cell>
          <cell r="D55" t="str">
            <v>Books</v>
          </cell>
          <cell r="E55">
            <v>942.9</v>
          </cell>
          <cell r="F55">
            <v>18</v>
          </cell>
          <cell r="G55">
            <v>0.1</v>
          </cell>
          <cell r="H55">
            <v>45466</v>
          </cell>
          <cell r="I55">
            <v>339.44</v>
          </cell>
        </row>
        <row r="56">
          <cell r="A56" t="str">
            <v>CUST009</v>
          </cell>
          <cell r="B56" t="str">
            <v>Emma Davis</v>
          </cell>
          <cell r="C56" t="str">
            <v>North</v>
          </cell>
          <cell r="D56" t="str">
            <v>Electronics</v>
          </cell>
          <cell r="E56">
            <v>818.8</v>
          </cell>
          <cell r="F56">
            <v>15</v>
          </cell>
          <cell r="G56">
            <v>0.15</v>
          </cell>
          <cell r="H56">
            <v>45468</v>
          </cell>
          <cell r="I56">
            <v>173.99</v>
          </cell>
        </row>
        <row r="57">
          <cell r="A57" t="str">
            <v>CUST005</v>
          </cell>
          <cell r="B57" t="str">
            <v>Robert Anderson</v>
          </cell>
          <cell r="C57" t="str">
            <v>South</v>
          </cell>
          <cell r="D57" t="str">
            <v>Furniture</v>
          </cell>
          <cell r="E57">
            <v>919.04</v>
          </cell>
          <cell r="F57">
            <v>10</v>
          </cell>
          <cell r="G57">
            <v>0.2</v>
          </cell>
          <cell r="H57">
            <v>45468</v>
          </cell>
          <cell r="I57">
            <v>257.33</v>
          </cell>
        </row>
        <row r="58">
          <cell r="A58" t="str">
            <v>CUST030</v>
          </cell>
          <cell r="B58" t="str">
            <v>Emma Taylor</v>
          </cell>
          <cell r="C58" t="str">
            <v>Central</v>
          </cell>
          <cell r="D58" t="str">
            <v>Books</v>
          </cell>
          <cell r="E58">
            <v>973.26</v>
          </cell>
          <cell r="F58">
            <v>11</v>
          </cell>
          <cell r="G58">
            <v>0</v>
          </cell>
          <cell r="H58">
            <v>45470</v>
          </cell>
          <cell r="I58">
            <v>389.3</v>
          </cell>
        </row>
        <row r="59">
          <cell r="A59" t="str">
            <v>CUST029</v>
          </cell>
          <cell r="B59" t="str">
            <v>Sarah Davis</v>
          </cell>
          <cell r="C59" t="str">
            <v>North</v>
          </cell>
          <cell r="D59" t="str">
            <v>Electronics</v>
          </cell>
          <cell r="E59">
            <v>741.61</v>
          </cell>
          <cell r="F59">
            <v>1</v>
          </cell>
          <cell r="G59">
            <v>0.2</v>
          </cell>
          <cell r="H59">
            <v>45471</v>
          </cell>
          <cell r="I59">
            <v>148.32</v>
          </cell>
        </row>
        <row r="60">
          <cell r="A60" t="str">
            <v>CUST003</v>
          </cell>
          <cell r="B60" t="str">
            <v>Emma Davis</v>
          </cell>
          <cell r="C60" t="str">
            <v>North</v>
          </cell>
          <cell r="D60" t="str">
            <v>Books</v>
          </cell>
          <cell r="E60">
            <v>1248.82</v>
          </cell>
          <cell r="F60">
            <v>2</v>
          </cell>
          <cell r="G60">
            <v>0.1</v>
          </cell>
          <cell r="H60">
            <v>45473</v>
          </cell>
          <cell r="I60">
            <v>449.58</v>
          </cell>
        </row>
        <row r="61">
          <cell r="A61" t="str">
            <v>CUST012</v>
          </cell>
          <cell r="B61" t="str">
            <v>Mary Wilson</v>
          </cell>
          <cell r="C61" t="str">
            <v>West</v>
          </cell>
          <cell r="D61" t="str">
            <v>Clothing</v>
          </cell>
          <cell r="E61">
            <v>1360.36</v>
          </cell>
          <cell r="F61">
            <v>17</v>
          </cell>
          <cell r="G61">
            <v>0</v>
          </cell>
          <cell r="H61">
            <v>45473</v>
          </cell>
          <cell r="I61">
            <v>680.18</v>
          </cell>
        </row>
        <row r="62">
          <cell r="A62" t="str">
            <v>CUST021</v>
          </cell>
          <cell r="B62" t="str">
            <v>Mary Davis</v>
          </cell>
          <cell r="C62" t="str">
            <v>East</v>
          </cell>
          <cell r="D62" t="str">
            <v>Books</v>
          </cell>
          <cell r="E62">
            <v>1383.3</v>
          </cell>
          <cell r="F62">
            <v>8</v>
          </cell>
          <cell r="G62">
            <v>0.1</v>
          </cell>
          <cell r="H62">
            <v>45478</v>
          </cell>
          <cell r="I62">
            <v>497.99</v>
          </cell>
        </row>
        <row r="63">
          <cell r="A63" t="str">
            <v>CUST010</v>
          </cell>
          <cell r="B63" t="str">
            <v>David Brown</v>
          </cell>
          <cell r="C63" t="str">
            <v>Central</v>
          </cell>
          <cell r="D63" t="str">
            <v>Office Supplies</v>
          </cell>
          <cell r="E63">
            <v>488.99</v>
          </cell>
          <cell r="F63">
            <v>9</v>
          </cell>
          <cell r="G63">
            <v>0</v>
          </cell>
          <cell r="H63">
            <v>45479</v>
          </cell>
          <cell r="I63">
            <v>220.05</v>
          </cell>
        </row>
        <row r="64">
          <cell r="A64" t="str">
            <v>CUST026</v>
          </cell>
          <cell r="B64" t="str">
            <v>Mary Davis</v>
          </cell>
          <cell r="C64" t="str">
            <v>East</v>
          </cell>
          <cell r="D64" t="str">
            <v>Furniture</v>
          </cell>
          <cell r="E64">
            <v>933.71</v>
          </cell>
          <cell r="F64">
            <v>17</v>
          </cell>
          <cell r="G64">
            <v>0.1</v>
          </cell>
          <cell r="H64">
            <v>45481</v>
          </cell>
          <cell r="I64">
            <v>294.12</v>
          </cell>
        </row>
        <row r="65">
          <cell r="A65" t="str">
            <v>CUST003</v>
          </cell>
          <cell r="B65" t="str">
            <v>James Davis</v>
          </cell>
          <cell r="C65" t="str">
            <v>West</v>
          </cell>
          <cell r="D65" t="str">
            <v>Electronics</v>
          </cell>
          <cell r="E65">
            <v>1005.53</v>
          </cell>
          <cell r="F65">
            <v>17</v>
          </cell>
          <cell r="G65">
            <v>0.2</v>
          </cell>
          <cell r="H65">
            <v>45481</v>
          </cell>
          <cell r="I65">
            <v>201.11</v>
          </cell>
        </row>
        <row r="66">
          <cell r="A66" t="str">
            <v>CUST029</v>
          </cell>
          <cell r="B66" t="str">
            <v>Emma Wilson</v>
          </cell>
          <cell r="C66" t="str">
            <v>South</v>
          </cell>
          <cell r="D66" t="str">
            <v>Electronics</v>
          </cell>
          <cell r="E66">
            <v>1100.1</v>
          </cell>
          <cell r="F66">
            <v>5</v>
          </cell>
          <cell r="G66">
            <v>0.05</v>
          </cell>
          <cell r="H66">
            <v>45482</v>
          </cell>
          <cell r="I66">
            <v>261.27</v>
          </cell>
        </row>
        <row r="67">
          <cell r="A67" t="str">
            <v>CUST003</v>
          </cell>
          <cell r="B67" t="str">
            <v>James Wilson</v>
          </cell>
          <cell r="C67" t="str">
            <v>North</v>
          </cell>
          <cell r="D67" t="str">
            <v>Furniture</v>
          </cell>
          <cell r="E67">
            <v>1034.7</v>
          </cell>
          <cell r="F67">
            <v>15</v>
          </cell>
          <cell r="G67">
            <v>0.15</v>
          </cell>
          <cell r="H67">
            <v>45487</v>
          </cell>
          <cell r="I67">
            <v>307.82</v>
          </cell>
        </row>
        <row r="68">
          <cell r="A68" t="str">
            <v>CUST002</v>
          </cell>
          <cell r="B68" t="str">
            <v>Mary Davis</v>
          </cell>
          <cell r="C68" t="str">
            <v>South</v>
          </cell>
          <cell r="D68" t="str">
            <v>Books</v>
          </cell>
          <cell r="E68">
            <v>876.44</v>
          </cell>
          <cell r="F68">
            <v>12</v>
          </cell>
          <cell r="G68">
            <v>0.05</v>
          </cell>
          <cell r="H68">
            <v>45488</v>
          </cell>
          <cell r="I68">
            <v>333.05</v>
          </cell>
        </row>
        <row r="69">
          <cell r="A69" t="str">
            <v>CUST020</v>
          </cell>
          <cell r="B69" t="str">
            <v>David Brown</v>
          </cell>
          <cell r="C69" t="str">
            <v>West</v>
          </cell>
          <cell r="D69" t="str">
            <v>Furniture</v>
          </cell>
          <cell r="E69">
            <v>1371.34</v>
          </cell>
          <cell r="F69">
            <v>5</v>
          </cell>
          <cell r="G69">
            <v>0.05</v>
          </cell>
          <cell r="H69">
            <v>45488</v>
          </cell>
          <cell r="I69">
            <v>455.97</v>
          </cell>
        </row>
        <row r="70">
          <cell r="A70" t="str">
            <v>CUST021</v>
          </cell>
          <cell r="B70" t="str">
            <v>Mary Jackson</v>
          </cell>
          <cell r="C70" t="str">
            <v>North</v>
          </cell>
          <cell r="D70" t="str">
            <v>Electronics</v>
          </cell>
          <cell r="E70">
            <v>1020.26</v>
          </cell>
          <cell r="F70">
            <v>11</v>
          </cell>
          <cell r="G70">
            <v>0.05</v>
          </cell>
          <cell r="H70">
            <v>45494</v>
          </cell>
          <cell r="I70">
            <v>242.31</v>
          </cell>
        </row>
        <row r="71">
          <cell r="A71" t="str">
            <v>CUST008</v>
          </cell>
          <cell r="B71" t="str">
            <v>James Davis</v>
          </cell>
          <cell r="C71" t="str">
            <v>Central</v>
          </cell>
          <cell r="D71" t="str">
            <v>Office Supplies</v>
          </cell>
          <cell r="E71">
            <v>804.81</v>
          </cell>
          <cell r="F71">
            <v>1</v>
          </cell>
          <cell r="G71">
            <v>0.05</v>
          </cell>
          <cell r="H71">
            <v>45502</v>
          </cell>
          <cell r="I71">
            <v>344.06</v>
          </cell>
        </row>
        <row r="72">
          <cell r="A72" t="str">
            <v>CUST030</v>
          </cell>
          <cell r="B72" t="str">
            <v>David Brown</v>
          </cell>
          <cell r="C72" t="str">
            <v>Central</v>
          </cell>
          <cell r="D72" t="str">
            <v>Electronics</v>
          </cell>
          <cell r="E72">
            <v>608.66</v>
          </cell>
          <cell r="F72">
            <v>1</v>
          </cell>
          <cell r="G72">
            <v>0.05</v>
          </cell>
          <cell r="H72">
            <v>45503</v>
          </cell>
          <cell r="I72">
            <v>144.56</v>
          </cell>
        </row>
        <row r="73">
          <cell r="A73" t="str">
            <v>CUST020</v>
          </cell>
          <cell r="B73" t="str">
            <v>Linda Moore</v>
          </cell>
          <cell r="C73" t="str">
            <v>South</v>
          </cell>
          <cell r="D73" t="str">
            <v>Office Supplies</v>
          </cell>
          <cell r="E73">
            <v>981.2</v>
          </cell>
          <cell r="F73">
            <v>19</v>
          </cell>
          <cell r="G73">
            <v>0</v>
          </cell>
          <cell r="H73">
            <v>45504</v>
          </cell>
          <cell r="I73">
            <v>441.54</v>
          </cell>
        </row>
        <row r="74">
          <cell r="A74" t="str">
            <v>CUST024</v>
          </cell>
          <cell r="B74" t="str">
            <v>David Brown</v>
          </cell>
          <cell r="C74" t="str">
            <v>East</v>
          </cell>
          <cell r="D74" t="str">
            <v>Electronics</v>
          </cell>
          <cell r="E74">
            <v>539.77</v>
          </cell>
          <cell r="F74">
            <v>10</v>
          </cell>
          <cell r="G74">
            <v>0.15</v>
          </cell>
          <cell r="H74">
            <v>45509</v>
          </cell>
          <cell r="I74">
            <v>114.7</v>
          </cell>
        </row>
        <row r="75">
          <cell r="A75" t="str">
            <v>CUST012</v>
          </cell>
          <cell r="B75" t="str">
            <v>David Anderson</v>
          </cell>
          <cell r="C75" t="str">
            <v>South</v>
          </cell>
          <cell r="D75" t="str">
            <v>Books</v>
          </cell>
          <cell r="E75">
            <v>804.45</v>
          </cell>
          <cell r="F75">
            <v>5</v>
          </cell>
          <cell r="G75">
            <v>0.2</v>
          </cell>
          <cell r="H75">
            <v>45509</v>
          </cell>
          <cell r="I75">
            <v>257.42</v>
          </cell>
        </row>
        <row r="76">
          <cell r="A76" t="str">
            <v>CUST024</v>
          </cell>
          <cell r="B76" t="str">
            <v>Emma Davis</v>
          </cell>
          <cell r="C76" t="str">
            <v>West</v>
          </cell>
          <cell r="D76" t="str">
            <v>Electronics</v>
          </cell>
          <cell r="E76">
            <v>1526.6</v>
          </cell>
          <cell r="F76">
            <v>13</v>
          </cell>
          <cell r="G76">
            <v>0.2</v>
          </cell>
          <cell r="H76">
            <v>45512</v>
          </cell>
          <cell r="I76">
            <v>305.32</v>
          </cell>
        </row>
        <row r="77">
          <cell r="A77" t="str">
            <v>CUST012</v>
          </cell>
          <cell r="B77" t="str">
            <v>Linda Wilson</v>
          </cell>
          <cell r="C77" t="str">
            <v>West</v>
          </cell>
          <cell r="D77" t="str">
            <v>Electronics</v>
          </cell>
          <cell r="E77">
            <v>1215.26</v>
          </cell>
          <cell r="F77">
            <v>5</v>
          </cell>
          <cell r="G77">
            <v>0.15</v>
          </cell>
          <cell r="H77">
            <v>45513</v>
          </cell>
          <cell r="I77">
            <v>258.24</v>
          </cell>
        </row>
        <row r="78">
          <cell r="A78" t="str">
            <v>CUST005</v>
          </cell>
          <cell r="B78" t="str">
            <v>Linda Taylor</v>
          </cell>
          <cell r="C78" t="str">
            <v>Central</v>
          </cell>
          <cell r="D78" t="str">
            <v>Furniture</v>
          </cell>
          <cell r="E78">
            <v>1261.34</v>
          </cell>
          <cell r="F78">
            <v>3</v>
          </cell>
          <cell r="G78">
            <v>0</v>
          </cell>
          <cell r="H78">
            <v>45519</v>
          </cell>
          <cell r="I78">
            <v>441.47</v>
          </cell>
        </row>
        <row r="79">
          <cell r="A79" t="str">
            <v>CUST004</v>
          </cell>
          <cell r="B79" t="str">
            <v>Lisa Thomas</v>
          </cell>
          <cell r="C79" t="str">
            <v>North</v>
          </cell>
          <cell r="D79" t="str">
            <v>Furniture</v>
          </cell>
          <cell r="E79">
            <v>518.07</v>
          </cell>
          <cell r="F79">
            <v>7</v>
          </cell>
          <cell r="G79">
            <v>0.05</v>
          </cell>
          <cell r="H79">
            <v>45522</v>
          </cell>
          <cell r="I79">
            <v>172.26</v>
          </cell>
        </row>
        <row r="80">
          <cell r="A80" t="str">
            <v>CUST026</v>
          </cell>
          <cell r="B80" t="str">
            <v>Linda Wilson</v>
          </cell>
          <cell r="C80" t="str">
            <v>West</v>
          </cell>
          <cell r="D80" t="str">
            <v>Office Supplies</v>
          </cell>
          <cell r="E80">
            <v>1111.34</v>
          </cell>
          <cell r="F80">
            <v>1</v>
          </cell>
          <cell r="G80">
            <v>0</v>
          </cell>
          <cell r="H80">
            <v>45523</v>
          </cell>
          <cell r="I80">
            <v>500.1</v>
          </cell>
        </row>
        <row r="81">
          <cell r="A81" t="str">
            <v>CUST030</v>
          </cell>
          <cell r="B81" t="str">
            <v>Mary Davis</v>
          </cell>
          <cell r="C81" t="str">
            <v>East</v>
          </cell>
          <cell r="D81" t="str">
            <v>Clothing</v>
          </cell>
          <cell r="E81">
            <v>1291.47</v>
          </cell>
          <cell r="F81">
            <v>18</v>
          </cell>
          <cell r="G81">
            <v>0.1</v>
          </cell>
          <cell r="H81">
            <v>45526</v>
          </cell>
          <cell r="I81">
            <v>581.16</v>
          </cell>
        </row>
        <row r="82">
          <cell r="A82" t="str">
            <v>CUST007</v>
          </cell>
          <cell r="B82" t="str">
            <v>David Brown</v>
          </cell>
          <cell r="C82" t="str">
            <v>North</v>
          </cell>
          <cell r="D82" t="str">
            <v>Books</v>
          </cell>
          <cell r="E82">
            <v>679.71</v>
          </cell>
          <cell r="F82">
            <v>19</v>
          </cell>
          <cell r="G82">
            <v>0</v>
          </cell>
          <cell r="H82">
            <v>45534</v>
          </cell>
          <cell r="I82">
            <v>271.88</v>
          </cell>
        </row>
        <row r="83">
          <cell r="A83" t="str">
            <v>CUST020</v>
          </cell>
          <cell r="B83" t="str">
            <v>Linda Jackson</v>
          </cell>
          <cell r="C83" t="str">
            <v>East</v>
          </cell>
          <cell r="D83" t="str">
            <v>Furniture</v>
          </cell>
          <cell r="E83">
            <v>1143.69</v>
          </cell>
          <cell r="F83">
            <v>17</v>
          </cell>
          <cell r="G83">
            <v>0</v>
          </cell>
          <cell r="H83">
            <v>45534</v>
          </cell>
          <cell r="I83">
            <v>400.29</v>
          </cell>
        </row>
        <row r="84">
          <cell r="A84" t="str">
            <v>CUST028</v>
          </cell>
          <cell r="B84" t="str">
            <v>Linda Brown</v>
          </cell>
          <cell r="C84" t="str">
            <v>Central</v>
          </cell>
          <cell r="D84" t="str">
            <v>Electronics</v>
          </cell>
          <cell r="E84">
            <v>790.08</v>
          </cell>
          <cell r="F84">
            <v>7</v>
          </cell>
          <cell r="G84">
            <v>0.1</v>
          </cell>
          <cell r="H84">
            <v>45536</v>
          </cell>
          <cell r="I84">
            <v>177.77</v>
          </cell>
        </row>
        <row r="85">
          <cell r="A85" t="str">
            <v>CUST005</v>
          </cell>
          <cell r="B85" t="str">
            <v>Lisa Davis</v>
          </cell>
          <cell r="C85" t="str">
            <v>Central</v>
          </cell>
          <cell r="D85" t="str">
            <v>Books</v>
          </cell>
          <cell r="E85">
            <v>1070.68</v>
          </cell>
          <cell r="F85">
            <v>7</v>
          </cell>
          <cell r="G85">
            <v>0.05</v>
          </cell>
          <cell r="H85">
            <v>45536</v>
          </cell>
          <cell r="I85">
            <v>406.86</v>
          </cell>
        </row>
        <row r="86">
          <cell r="A86" t="str">
            <v>CUST015</v>
          </cell>
          <cell r="B86" t="str">
            <v>David Thomas</v>
          </cell>
          <cell r="C86" t="str">
            <v>West</v>
          </cell>
          <cell r="D86" t="str">
            <v>Clothing</v>
          </cell>
          <cell r="E86">
            <v>1168.89</v>
          </cell>
          <cell r="F86">
            <v>4</v>
          </cell>
          <cell r="G86">
            <v>0.1</v>
          </cell>
          <cell r="H86">
            <v>45544</v>
          </cell>
          <cell r="I86">
            <v>526</v>
          </cell>
        </row>
        <row r="87">
          <cell r="A87" t="str">
            <v>CUST003</v>
          </cell>
          <cell r="B87" t="str">
            <v>James Davis</v>
          </cell>
          <cell r="C87" t="str">
            <v>South</v>
          </cell>
          <cell r="D87" t="str">
            <v>Electronics</v>
          </cell>
          <cell r="E87">
            <v>1335.87</v>
          </cell>
          <cell r="F87">
            <v>17</v>
          </cell>
          <cell r="G87">
            <v>0</v>
          </cell>
          <cell r="H87">
            <v>45544</v>
          </cell>
          <cell r="I87">
            <v>333.97</v>
          </cell>
        </row>
        <row r="88">
          <cell r="A88" t="str">
            <v>CUST023</v>
          </cell>
          <cell r="B88" t="str">
            <v>David Brown</v>
          </cell>
          <cell r="C88" t="str">
            <v>East</v>
          </cell>
          <cell r="D88" t="str">
            <v>Furniture</v>
          </cell>
          <cell r="E88">
            <v>873.7</v>
          </cell>
          <cell r="F88">
            <v>9</v>
          </cell>
          <cell r="G88">
            <v>0</v>
          </cell>
          <cell r="H88">
            <v>45546</v>
          </cell>
          <cell r="I88">
            <v>305.8</v>
          </cell>
        </row>
        <row r="89">
          <cell r="A89" t="str">
            <v>CUST004</v>
          </cell>
          <cell r="B89" t="str">
            <v>Sarah Davis</v>
          </cell>
          <cell r="C89" t="str">
            <v>West</v>
          </cell>
          <cell r="D89" t="str">
            <v>Office Supplies</v>
          </cell>
          <cell r="E89">
            <v>1443.98</v>
          </cell>
          <cell r="F89">
            <v>19</v>
          </cell>
          <cell r="G89">
            <v>0</v>
          </cell>
          <cell r="H89">
            <v>45547</v>
          </cell>
          <cell r="I89">
            <v>649.79</v>
          </cell>
        </row>
        <row r="90">
          <cell r="A90" t="str">
            <v>CUST023</v>
          </cell>
          <cell r="B90" t="str">
            <v>James Wilson</v>
          </cell>
          <cell r="C90" t="str">
            <v>East</v>
          </cell>
          <cell r="D90" t="str">
            <v>Office Supplies</v>
          </cell>
          <cell r="E90">
            <v>1154.33</v>
          </cell>
          <cell r="F90">
            <v>11</v>
          </cell>
          <cell r="G90">
            <v>0.15</v>
          </cell>
          <cell r="H90">
            <v>45549</v>
          </cell>
          <cell r="I90">
            <v>441.53</v>
          </cell>
        </row>
        <row r="91">
          <cell r="A91" t="str">
            <v>CUST022</v>
          </cell>
          <cell r="B91" t="str">
            <v>Linda Brown</v>
          </cell>
          <cell r="C91" t="str">
            <v>South</v>
          </cell>
          <cell r="D91" t="str">
            <v>Books</v>
          </cell>
          <cell r="E91">
            <v>1264.49</v>
          </cell>
          <cell r="F91">
            <v>16</v>
          </cell>
          <cell r="G91">
            <v>0.05</v>
          </cell>
          <cell r="H91">
            <v>45549</v>
          </cell>
          <cell r="I91">
            <v>480.51</v>
          </cell>
        </row>
        <row r="92">
          <cell r="A92" t="str">
            <v>CUST007</v>
          </cell>
          <cell r="B92" t="str">
            <v>Emma Taylor</v>
          </cell>
          <cell r="C92" t="str">
            <v>West</v>
          </cell>
          <cell r="D92" t="str">
            <v>Furniture</v>
          </cell>
          <cell r="E92">
            <v>1101.55</v>
          </cell>
          <cell r="F92">
            <v>4</v>
          </cell>
          <cell r="G92">
            <v>0.1</v>
          </cell>
          <cell r="H92">
            <v>45551</v>
          </cell>
          <cell r="I92">
            <v>346.99</v>
          </cell>
        </row>
        <row r="93">
          <cell r="A93" t="str">
            <v>CUST013</v>
          </cell>
          <cell r="B93" t="str">
            <v>Robert Anderson</v>
          </cell>
          <cell r="C93" t="str">
            <v>South</v>
          </cell>
          <cell r="D93" t="str">
            <v>Furniture</v>
          </cell>
          <cell r="E93">
            <v>727.73</v>
          </cell>
          <cell r="F93">
            <v>1</v>
          </cell>
          <cell r="G93">
            <v>0.1</v>
          </cell>
          <cell r="H93">
            <v>45552</v>
          </cell>
          <cell r="I93">
            <v>229.23</v>
          </cell>
        </row>
        <row r="94">
          <cell r="A94" t="str">
            <v>CUST027</v>
          </cell>
          <cell r="B94" t="str">
            <v>Emma Davis</v>
          </cell>
          <cell r="C94" t="str">
            <v>East</v>
          </cell>
          <cell r="D94" t="str">
            <v>Office Supplies</v>
          </cell>
          <cell r="E94">
            <v>875.41</v>
          </cell>
          <cell r="F94">
            <v>13</v>
          </cell>
          <cell r="G94">
            <v>0.15</v>
          </cell>
          <cell r="H94">
            <v>45552</v>
          </cell>
          <cell r="I94">
            <v>334.84</v>
          </cell>
        </row>
        <row r="95">
          <cell r="A95" t="str">
            <v>CUST003</v>
          </cell>
          <cell r="B95" t="str">
            <v>James Wilson</v>
          </cell>
          <cell r="C95" t="str">
            <v>West</v>
          </cell>
          <cell r="D95" t="str">
            <v>Electronics</v>
          </cell>
          <cell r="E95">
            <v>1158.94</v>
          </cell>
          <cell r="F95">
            <v>19</v>
          </cell>
          <cell r="G95">
            <v>0.2</v>
          </cell>
          <cell r="H95">
            <v>45553</v>
          </cell>
          <cell r="I95">
            <v>231.79</v>
          </cell>
        </row>
        <row r="96">
          <cell r="A96" t="str">
            <v>CUST018</v>
          </cell>
          <cell r="B96" t="str">
            <v>Mary Jackson</v>
          </cell>
          <cell r="C96" t="str">
            <v>South</v>
          </cell>
          <cell r="D96" t="str">
            <v>Books</v>
          </cell>
          <cell r="E96">
            <v>966.3</v>
          </cell>
          <cell r="F96">
            <v>2</v>
          </cell>
          <cell r="G96">
            <v>0.15</v>
          </cell>
          <cell r="H96">
            <v>45557</v>
          </cell>
          <cell r="I96">
            <v>328.54</v>
          </cell>
        </row>
        <row r="97">
          <cell r="A97" t="str">
            <v>CUST020</v>
          </cell>
          <cell r="B97" t="str">
            <v>James Taylor</v>
          </cell>
          <cell r="C97" t="str">
            <v>South</v>
          </cell>
          <cell r="D97" t="str">
            <v>Books</v>
          </cell>
          <cell r="E97">
            <v>917.48</v>
          </cell>
          <cell r="F97">
            <v>6</v>
          </cell>
          <cell r="G97">
            <v>0</v>
          </cell>
          <cell r="H97">
            <v>45558</v>
          </cell>
          <cell r="I97">
            <v>366.99</v>
          </cell>
        </row>
        <row r="98">
          <cell r="A98" t="str">
            <v>CUST029</v>
          </cell>
          <cell r="B98" t="str">
            <v>Emma Wilson</v>
          </cell>
          <cell r="C98" t="str">
            <v>West</v>
          </cell>
          <cell r="D98" t="str">
            <v>Furniture</v>
          </cell>
          <cell r="E98">
            <v>1172.97</v>
          </cell>
          <cell r="F98">
            <v>7</v>
          </cell>
          <cell r="G98">
            <v>0.15</v>
          </cell>
          <cell r="H98">
            <v>45559</v>
          </cell>
          <cell r="I98">
            <v>348.96</v>
          </cell>
        </row>
        <row r="99">
          <cell r="A99" t="str">
            <v>CUST021</v>
          </cell>
          <cell r="B99" t="str">
            <v>James Wilson</v>
          </cell>
          <cell r="C99" t="str">
            <v>North</v>
          </cell>
          <cell r="D99" t="str">
            <v>Clothing</v>
          </cell>
          <cell r="E99">
            <v>1205.82</v>
          </cell>
          <cell r="F99">
            <v>11</v>
          </cell>
          <cell r="G99">
            <v>0.1</v>
          </cell>
          <cell r="H99">
            <v>45559</v>
          </cell>
          <cell r="I99">
            <v>542.62</v>
          </cell>
        </row>
        <row r="100">
          <cell r="A100" t="str">
            <v>CUST017</v>
          </cell>
          <cell r="B100" t="str">
            <v>Sarah Davis</v>
          </cell>
          <cell r="C100" t="str">
            <v>West</v>
          </cell>
          <cell r="D100" t="str">
            <v>Office Supplies</v>
          </cell>
          <cell r="E100">
            <v>826.93</v>
          </cell>
          <cell r="F100">
            <v>10</v>
          </cell>
          <cell r="G100">
            <v>0.2</v>
          </cell>
          <cell r="H100">
            <v>45564</v>
          </cell>
          <cell r="I100">
            <v>297.69</v>
          </cell>
        </row>
        <row r="101">
          <cell r="A101" t="str">
            <v>CUST003</v>
          </cell>
          <cell r="B101" t="str">
            <v>James Wilson</v>
          </cell>
          <cell r="C101" t="str">
            <v>Central</v>
          </cell>
          <cell r="D101" t="str">
            <v>Clothing</v>
          </cell>
          <cell r="E101">
            <v>902.19</v>
          </cell>
          <cell r="F101">
            <v>12</v>
          </cell>
          <cell r="G101">
            <v>0</v>
          </cell>
          <cell r="H101">
            <v>45564</v>
          </cell>
          <cell r="I101">
            <v>451.1</v>
          </cell>
        </row>
        <row r="102">
          <cell r="A102" t="str">
            <v>CUST027</v>
          </cell>
          <cell r="B102" t="str">
            <v>Emma Davis</v>
          </cell>
          <cell r="C102" t="str">
            <v>North</v>
          </cell>
          <cell r="D102" t="str">
            <v>Books</v>
          </cell>
          <cell r="E102">
            <v>585.97</v>
          </cell>
          <cell r="F102">
            <v>17</v>
          </cell>
          <cell r="G102">
            <v>0.1</v>
          </cell>
          <cell r="H102">
            <v>45565</v>
          </cell>
          <cell r="I102">
            <v>210.95</v>
          </cell>
        </row>
        <row r="103">
          <cell r="A103" t="str">
            <v>CUST016</v>
          </cell>
          <cell r="B103" t="str">
            <v>Michael Anderson</v>
          </cell>
          <cell r="C103" t="str">
            <v>North</v>
          </cell>
          <cell r="D103" t="str">
            <v>Clothing</v>
          </cell>
          <cell r="E103">
            <v>990.19</v>
          </cell>
          <cell r="F103">
            <v>8</v>
          </cell>
          <cell r="G103">
            <v>0.1</v>
          </cell>
          <cell r="H103">
            <v>45565</v>
          </cell>
          <cell r="I103">
            <v>445.59</v>
          </cell>
        </row>
        <row r="104">
          <cell r="A104" t="str">
            <v>CUST008</v>
          </cell>
          <cell r="B104" t="str">
            <v>David Davis</v>
          </cell>
          <cell r="C104" t="str">
            <v>Central</v>
          </cell>
          <cell r="D104" t="str">
            <v>Electronics</v>
          </cell>
          <cell r="E104">
            <v>1014.09</v>
          </cell>
          <cell r="F104">
            <v>13</v>
          </cell>
          <cell r="G104">
            <v>0.2</v>
          </cell>
          <cell r="H104">
            <v>45567</v>
          </cell>
          <cell r="I104">
            <v>202.82</v>
          </cell>
        </row>
        <row r="105">
          <cell r="A105" t="str">
            <v>CUST012</v>
          </cell>
          <cell r="B105" t="str">
            <v>Lisa Davis</v>
          </cell>
          <cell r="C105" t="str">
            <v>North</v>
          </cell>
          <cell r="D105" t="str">
            <v>Electronics</v>
          </cell>
          <cell r="E105">
            <v>925.29</v>
          </cell>
          <cell r="F105">
            <v>17</v>
          </cell>
          <cell r="G105">
            <v>0</v>
          </cell>
          <cell r="H105">
            <v>45570</v>
          </cell>
          <cell r="I105">
            <v>231.32</v>
          </cell>
        </row>
        <row r="106">
          <cell r="A106" t="str">
            <v>CUST025</v>
          </cell>
          <cell r="B106" t="str">
            <v>Mary Jackson</v>
          </cell>
          <cell r="C106" t="str">
            <v>East</v>
          </cell>
          <cell r="D106" t="str">
            <v>Furniture</v>
          </cell>
          <cell r="E106">
            <v>1286.54</v>
          </cell>
          <cell r="F106">
            <v>8</v>
          </cell>
          <cell r="G106">
            <v>0</v>
          </cell>
          <cell r="H106">
            <v>45575</v>
          </cell>
          <cell r="I106">
            <v>450.29</v>
          </cell>
        </row>
        <row r="107">
          <cell r="A107" t="str">
            <v>CUST014</v>
          </cell>
          <cell r="B107" t="str">
            <v>Sarah Davis</v>
          </cell>
          <cell r="C107" t="str">
            <v>South</v>
          </cell>
          <cell r="D107" t="str">
            <v>Books</v>
          </cell>
          <cell r="E107">
            <v>961.62</v>
          </cell>
          <cell r="F107">
            <v>8</v>
          </cell>
          <cell r="G107">
            <v>0.2</v>
          </cell>
          <cell r="H107">
            <v>45577</v>
          </cell>
          <cell r="I107">
            <v>307.72</v>
          </cell>
        </row>
        <row r="108">
          <cell r="A108" t="str">
            <v>CUST008</v>
          </cell>
          <cell r="B108" t="str">
            <v>James Wilson</v>
          </cell>
          <cell r="C108" t="str">
            <v>East</v>
          </cell>
          <cell r="D108" t="str">
            <v>Books</v>
          </cell>
          <cell r="E108">
            <v>1081.14</v>
          </cell>
          <cell r="F108">
            <v>19</v>
          </cell>
          <cell r="G108">
            <v>0.15</v>
          </cell>
          <cell r="H108">
            <v>45577</v>
          </cell>
          <cell r="I108">
            <v>367.59</v>
          </cell>
        </row>
        <row r="109">
          <cell r="A109" t="str">
            <v>CUST015</v>
          </cell>
          <cell r="B109" t="str">
            <v>James Wilson</v>
          </cell>
          <cell r="C109" t="str">
            <v>West</v>
          </cell>
          <cell r="D109" t="str">
            <v>Clothing</v>
          </cell>
          <cell r="E109">
            <v>1923.66</v>
          </cell>
          <cell r="F109">
            <v>9</v>
          </cell>
          <cell r="G109">
            <v>0.2</v>
          </cell>
          <cell r="H109">
            <v>45580</v>
          </cell>
          <cell r="I109">
            <v>769.46</v>
          </cell>
        </row>
        <row r="110">
          <cell r="A110" t="str">
            <v>CUST025</v>
          </cell>
          <cell r="B110" t="str">
            <v>Emma Taylor</v>
          </cell>
          <cell r="C110" t="str">
            <v>Central</v>
          </cell>
          <cell r="D110" t="str">
            <v>Clothing</v>
          </cell>
          <cell r="E110">
            <v>728.71</v>
          </cell>
          <cell r="F110">
            <v>14</v>
          </cell>
          <cell r="G110">
            <v>0.1</v>
          </cell>
          <cell r="H110">
            <v>45581</v>
          </cell>
          <cell r="I110">
            <v>327.92</v>
          </cell>
        </row>
        <row r="111">
          <cell r="A111" t="str">
            <v>CUST019</v>
          </cell>
          <cell r="B111" t="str">
            <v>Linda Jackson</v>
          </cell>
          <cell r="C111" t="str">
            <v>Central</v>
          </cell>
          <cell r="D111" t="str">
            <v>Clothing</v>
          </cell>
          <cell r="E111">
            <v>1301.89</v>
          </cell>
          <cell r="F111">
            <v>7</v>
          </cell>
          <cell r="G111">
            <v>0.15</v>
          </cell>
          <cell r="H111">
            <v>45581</v>
          </cell>
          <cell r="I111">
            <v>553.3</v>
          </cell>
        </row>
        <row r="112">
          <cell r="A112" t="str">
            <v>CUST024</v>
          </cell>
          <cell r="B112" t="str">
            <v>Emma Taylor</v>
          </cell>
          <cell r="C112" t="str">
            <v>East</v>
          </cell>
          <cell r="D112" t="str">
            <v>Books</v>
          </cell>
          <cell r="E112">
            <v>980.18</v>
          </cell>
          <cell r="F112">
            <v>16</v>
          </cell>
          <cell r="G112">
            <v>0.1</v>
          </cell>
          <cell r="H112">
            <v>45582</v>
          </cell>
          <cell r="I112">
            <v>352.86</v>
          </cell>
        </row>
        <row r="113">
          <cell r="A113" t="str">
            <v>CUST027</v>
          </cell>
          <cell r="B113" t="str">
            <v>James Wilson</v>
          </cell>
          <cell r="C113" t="str">
            <v>West</v>
          </cell>
          <cell r="D113" t="str">
            <v>Clothing</v>
          </cell>
          <cell r="E113">
            <v>697.57</v>
          </cell>
          <cell r="F113">
            <v>17</v>
          </cell>
          <cell r="G113">
            <v>0.1</v>
          </cell>
          <cell r="H113">
            <v>45584</v>
          </cell>
          <cell r="I113">
            <v>313.91</v>
          </cell>
        </row>
        <row r="114">
          <cell r="A114" t="str">
            <v>CUST006</v>
          </cell>
          <cell r="B114" t="str">
            <v>David Anderson</v>
          </cell>
          <cell r="C114" t="str">
            <v>West</v>
          </cell>
          <cell r="D114" t="str">
            <v>Furniture</v>
          </cell>
          <cell r="E114">
            <v>1193.61</v>
          </cell>
          <cell r="F114">
            <v>1</v>
          </cell>
          <cell r="G114">
            <v>0.15</v>
          </cell>
          <cell r="H114">
            <v>45584</v>
          </cell>
          <cell r="I114">
            <v>355.1</v>
          </cell>
        </row>
        <row r="115">
          <cell r="A115" t="str">
            <v>CUST009</v>
          </cell>
          <cell r="B115" t="str">
            <v>Emma Davis</v>
          </cell>
          <cell r="C115" t="str">
            <v>South</v>
          </cell>
          <cell r="D115" t="str">
            <v>Electronics</v>
          </cell>
          <cell r="E115">
            <v>771.02</v>
          </cell>
          <cell r="F115">
            <v>1</v>
          </cell>
          <cell r="G115">
            <v>0</v>
          </cell>
          <cell r="H115">
            <v>45585</v>
          </cell>
          <cell r="I115">
            <v>192.76</v>
          </cell>
        </row>
        <row r="116">
          <cell r="A116" t="str">
            <v>CUST003</v>
          </cell>
          <cell r="B116" t="str">
            <v>Linda Moore</v>
          </cell>
          <cell r="C116" t="str">
            <v>North</v>
          </cell>
          <cell r="D116" t="str">
            <v>Clothing</v>
          </cell>
          <cell r="E116">
            <v>661.09</v>
          </cell>
          <cell r="F116">
            <v>1</v>
          </cell>
          <cell r="G116">
            <v>0.2</v>
          </cell>
          <cell r="H116">
            <v>45593</v>
          </cell>
          <cell r="I116">
            <v>264.44</v>
          </cell>
        </row>
        <row r="117">
          <cell r="A117" t="str">
            <v>CUST012</v>
          </cell>
          <cell r="B117" t="str">
            <v>David Brown</v>
          </cell>
          <cell r="C117" t="str">
            <v>West</v>
          </cell>
          <cell r="D117" t="str">
            <v>Electronics</v>
          </cell>
          <cell r="E117">
            <v>688.83</v>
          </cell>
          <cell r="F117">
            <v>15</v>
          </cell>
          <cell r="G117">
            <v>0</v>
          </cell>
          <cell r="H117">
            <v>45595</v>
          </cell>
          <cell r="I117">
            <v>172.21</v>
          </cell>
        </row>
        <row r="118">
          <cell r="A118" t="str">
            <v>CUST013</v>
          </cell>
          <cell r="B118" t="str">
            <v>Linda Wilson</v>
          </cell>
          <cell r="C118" t="str">
            <v>Central</v>
          </cell>
          <cell r="D118" t="str">
            <v>Books</v>
          </cell>
          <cell r="E118">
            <v>1249.1</v>
          </cell>
          <cell r="F118">
            <v>4</v>
          </cell>
          <cell r="G118">
            <v>0.05</v>
          </cell>
          <cell r="H118">
            <v>45597</v>
          </cell>
          <cell r="I118">
            <v>474.66</v>
          </cell>
        </row>
        <row r="119">
          <cell r="A119" t="str">
            <v>CUST008</v>
          </cell>
          <cell r="B119" t="str">
            <v>James Wilson</v>
          </cell>
          <cell r="C119" t="str">
            <v>East</v>
          </cell>
          <cell r="D119" t="str">
            <v>Office Supplies</v>
          </cell>
          <cell r="E119">
            <v>1014.22</v>
          </cell>
          <cell r="F119">
            <v>14</v>
          </cell>
          <cell r="G119">
            <v>0.05</v>
          </cell>
          <cell r="H119">
            <v>45599</v>
          </cell>
          <cell r="I119">
            <v>433.58</v>
          </cell>
        </row>
        <row r="120">
          <cell r="A120" t="str">
            <v>CUST025</v>
          </cell>
          <cell r="B120" t="str">
            <v>Lisa Davis</v>
          </cell>
          <cell r="C120" t="str">
            <v>East</v>
          </cell>
          <cell r="D120" t="str">
            <v>Books</v>
          </cell>
          <cell r="E120">
            <v>1010.58</v>
          </cell>
          <cell r="F120">
            <v>2</v>
          </cell>
          <cell r="G120">
            <v>0.15</v>
          </cell>
          <cell r="H120">
            <v>45605</v>
          </cell>
          <cell r="I120">
            <v>343.6</v>
          </cell>
        </row>
        <row r="121">
          <cell r="A121" t="str">
            <v>CUST026</v>
          </cell>
          <cell r="B121" t="str">
            <v>Mary Wilson</v>
          </cell>
          <cell r="C121" t="str">
            <v>North</v>
          </cell>
          <cell r="D121" t="str">
            <v>Furniture</v>
          </cell>
          <cell r="E121">
            <v>957.29</v>
          </cell>
          <cell r="F121">
            <v>4</v>
          </cell>
          <cell r="G121">
            <v>0.05</v>
          </cell>
          <cell r="H121">
            <v>45605</v>
          </cell>
          <cell r="I121">
            <v>318.3</v>
          </cell>
        </row>
        <row r="122">
          <cell r="A122" t="str">
            <v>CUST001</v>
          </cell>
          <cell r="B122" t="str">
            <v>Lisa Thomas</v>
          </cell>
          <cell r="C122" t="str">
            <v>North</v>
          </cell>
          <cell r="D122" t="str">
            <v>Furniture</v>
          </cell>
          <cell r="E122">
            <v>1077.92</v>
          </cell>
          <cell r="F122">
            <v>3</v>
          </cell>
          <cell r="G122">
            <v>0.05</v>
          </cell>
          <cell r="H122">
            <v>45608</v>
          </cell>
          <cell r="I122">
            <v>358.41</v>
          </cell>
        </row>
        <row r="123">
          <cell r="A123" t="str">
            <v>CUST028</v>
          </cell>
          <cell r="B123" t="str">
            <v>Linda Brown</v>
          </cell>
          <cell r="C123" t="str">
            <v>South</v>
          </cell>
          <cell r="D123" t="str">
            <v>Clothing</v>
          </cell>
          <cell r="E123">
            <v>1163.01</v>
          </cell>
          <cell r="F123">
            <v>5</v>
          </cell>
          <cell r="G123">
            <v>0</v>
          </cell>
          <cell r="H123">
            <v>45611</v>
          </cell>
          <cell r="I123">
            <v>581.5</v>
          </cell>
        </row>
        <row r="124">
          <cell r="A124" t="str">
            <v>CUST025</v>
          </cell>
          <cell r="B124" t="str">
            <v>Lisa Thomas</v>
          </cell>
          <cell r="C124" t="str">
            <v>East</v>
          </cell>
          <cell r="D124" t="str">
            <v>Office Supplies</v>
          </cell>
          <cell r="E124">
            <v>1014.56</v>
          </cell>
          <cell r="F124">
            <v>10</v>
          </cell>
          <cell r="G124">
            <v>0.1</v>
          </cell>
          <cell r="H124">
            <v>45612</v>
          </cell>
          <cell r="I124">
            <v>410.9</v>
          </cell>
        </row>
        <row r="125">
          <cell r="A125" t="str">
            <v>CUST019</v>
          </cell>
          <cell r="B125" t="str">
            <v>James Taylor</v>
          </cell>
          <cell r="C125" t="str">
            <v>South</v>
          </cell>
          <cell r="D125" t="str">
            <v>Electronics</v>
          </cell>
          <cell r="E125">
            <v>718.04</v>
          </cell>
          <cell r="F125">
            <v>14</v>
          </cell>
          <cell r="G125">
            <v>0</v>
          </cell>
          <cell r="H125">
            <v>45613</v>
          </cell>
          <cell r="I125">
            <v>179.51</v>
          </cell>
        </row>
        <row r="126">
          <cell r="A126" t="str">
            <v>CUST004</v>
          </cell>
          <cell r="B126" t="str">
            <v>James Taylor</v>
          </cell>
          <cell r="C126" t="str">
            <v>Central</v>
          </cell>
          <cell r="D126" t="str">
            <v>Clothing</v>
          </cell>
          <cell r="E126">
            <v>1277.85</v>
          </cell>
          <cell r="F126">
            <v>18</v>
          </cell>
          <cell r="G126">
            <v>0.2</v>
          </cell>
          <cell r="H126">
            <v>45613</v>
          </cell>
          <cell r="I126">
            <v>511.14</v>
          </cell>
        </row>
        <row r="127">
          <cell r="A127" t="str">
            <v>CUST024</v>
          </cell>
          <cell r="B127" t="str">
            <v>James Wilson</v>
          </cell>
          <cell r="C127" t="str">
            <v>North</v>
          </cell>
          <cell r="D127" t="str">
            <v>Electronics</v>
          </cell>
          <cell r="E127">
            <v>706.73</v>
          </cell>
          <cell r="F127">
            <v>1</v>
          </cell>
          <cell r="G127">
            <v>0.15</v>
          </cell>
          <cell r="H127">
            <v>45613</v>
          </cell>
          <cell r="I127">
            <v>150.18</v>
          </cell>
        </row>
        <row r="128">
          <cell r="A128" t="str">
            <v>CUST002</v>
          </cell>
          <cell r="B128" t="str">
            <v>Linda Brown</v>
          </cell>
          <cell r="C128" t="str">
            <v>East</v>
          </cell>
          <cell r="D128" t="str">
            <v>Electronics</v>
          </cell>
          <cell r="E128">
            <v>1410.59</v>
          </cell>
          <cell r="F128">
            <v>15</v>
          </cell>
          <cell r="G128">
            <v>0</v>
          </cell>
          <cell r="H128">
            <v>45615</v>
          </cell>
          <cell r="I128">
            <v>352.65</v>
          </cell>
        </row>
        <row r="129">
          <cell r="A129" t="str">
            <v>CUST009</v>
          </cell>
          <cell r="B129" t="str">
            <v>Emma Wilson</v>
          </cell>
          <cell r="C129" t="str">
            <v>South</v>
          </cell>
          <cell r="D129" t="str">
            <v>Furniture</v>
          </cell>
          <cell r="E129">
            <v>1350.33</v>
          </cell>
          <cell r="F129">
            <v>10</v>
          </cell>
          <cell r="G129">
            <v>0</v>
          </cell>
          <cell r="H129">
            <v>45615</v>
          </cell>
          <cell r="I129">
            <v>472.62</v>
          </cell>
        </row>
        <row r="130">
          <cell r="A130" t="str">
            <v>CUST029</v>
          </cell>
          <cell r="B130" t="str">
            <v>Lisa Thomas</v>
          </cell>
          <cell r="C130" t="str">
            <v>East</v>
          </cell>
          <cell r="D130" t="str">
            <v>Electronics</v>
          </cell>
          <cell r="E130">
            <v>919.18</v>
          </cell>
          <cell r="F130">
            <v>4</v>
          </cell>
          <cell r="G130">
            <v>0.15</v>
          </cell>
          <cell r="H130">
            <v>45615</v>
          </cell>
          <cell r="I130">
            <v>195.33</v>
          </cell>
        </row>
        <row r="131">
          <cell r="A131" t="str">
            <v>CUST027</v>
          </cell>
          <cell r="B131" t="str">
            <v>James Wilson</v>
          </cell>
          <cell r="C131" t="str">
            <v>West</v>
          </cell>
          <cell r="D131" t="str">
            <v>Electronics</v>
          </cell>
          <cell r="E131">
            <v>258.51</v>
          </cell>
          <cell r="F131">
            <v>19</v>
          </cell>
          <cell r="G131">
            <v>0</v>
          </cell>
          <cell r="H131">
            <v>45616</v>
          </cell>
          <cell r="I131">
            <v>64.63</v>
          </cell>
        </row>
        <row r="132">
          <cell r="A132" t="str">
            <v>CUST011</v>
          </cell>
          <cell r="B132" t="str">
            <v>Emma Wilson</v>
          </cell>
          <cell r="C132" t="str">
            <v>East</v>
          </cell>
          <cell r="D132" t="str">
            <v>Books</v>
          </cell>
          <cell r="E132">
            <v>1213.48</v>
          </cell>
          <cell r="F132">
            <v>5</v>
          </cell>
          <cell r="G132">
            <v>0.05</v>
          </cell>
          <cell r="H132">
            <v>45616</v>
          </cell>
          <cell r="I132">
            <v>461.12</v>
          </cell>
        </row>
        <row r="133">
          <cell r="A133" t="str">
            <v>CUST021</v>
          </cell>
          <cell r="B133" t="str">
            <v>Emma Davis</v>
          </cell>
          <cell r="C133" t="str">
            <v>Central</v>
          </cell>
          <cell r="D133" t="str">
            <v>Books</v>
          </cell>
          <cell r="E133">
            <v>1150.28</v>
          </cell>
          <cell r="F133">
            <v>8</v>
          </cell>
          <cell r="G133">
            <v>0.05</v>
          </cell>
          <cell r="H133">
            <v>45622</v>
          </cell>
          <cell r="I133">
            <v>437.11</v>
          </cell>
        </row>
        <row r="134">
          <cell r="A134" t="str">
            <v>CUST014</v>
          </cell>
          <cell r="B134" t="str">
            <v>David Anderson</v>
          </cell>
          <cell r="C134" t="str">
            <v>South</v>
          </cell>
          <cell r="D134" t="str">
            <v>Furniture</v>
          </cell>
          <cell r="E134">
            <v>853.86</v>
          </cell>
          <cell r="F134">
            <v>8</v>
          </cell>
          <cell r="G134">
            <v>0.1</v>
          </cell>
          <cell r="H134">
            <v>45622</v>
          </cell>
          <cell r="I134">
            <v>268.97</v>
          </cell>
        </row>
        <row r="135">
          <cell r="A135" t="str">
            <v>CUST018</v>
          </cell>
          <cell r="B135" t="str">
            <v>Lisa Thomas</v>
          </cell>
          <cell r="C135" t="str">
            <v>South</v>
          </cell>
          <cell r="D135" t="str">
            <v>Electronics</v>
          </cell>
          <cell r="E135">
            <v>1061.04</v>
          </cell>
          <cell r="F135">
            <v>1</v>
          </cell>
          <cell r="G135">
            <v>0</v>
          </cell>
          <cell r="H135">
            <v>45624</v>
          </cell>
          <cell r="I135">
            <v>265.26</v>
          </cell>
        </row>
        <row r="136">
          <cell r="A136" t="str">
            <v>CUST001</v>
          </cell>
          <cell r="B136" t="str">
            <v>Sarah Anderson</v>
          </cell>
          <cell r="C136" t="str">
            <v>West</v>
          </cell>
          <cell r="D136" t="str">
            <v>Electronics</v>
          </cell>
          <cell r="E136">
            <v>894.55</v>
          </cell>
          <cell r="F136">
            <v>19</v>
          </cell>
          <cell r="G136">
            <v>0.2</v>
          </cell>
          <cell r="H136">
            <v>45625</v>
          </cell>
          <cell r="I136">
            <v>178.91</v>
          </cell>
        </row>
        <row r="137">
          <cell r="A137" t="str">
            <v>CUST007</v>
          </cell>
          <cell r="B137" t="str">
            <v>Emma Davis</v>
          </cell>
          <cell r="C137" t="str">
            <v>North</v>
          </cell>
          <cell r="D137" t="str">
            <v>Office Supplies</v>
          </cell>
          <cell r="E137">
            <v>833.91</v>
          </cell>
          <cell r="F137">
            <v>3</v>
          </cell>
          <cell r="G137">
            <v>0.05</v>
          </cell>
          <cell r="H137">
            <v>45626</v>
          </cell>
          <cell r="I137">
            <v>356.5</v>
          </cell>
        </row>
        <row r="138">
          <cell r="A138" t="str">
            <v>CUST015</v>
          </cell>
          <cell r="B138" t="str">
            <v>David Anderson</v>
          </cell>
          <cell r="C138" t="str">
            <v>West</v>
          </cell>
          <cell r="D138" t="str">
            <v>Furniture</v>
          </cell>
          <cell r="E138">
            <v>820.19</v>
          </cell>
          <cell r="F138">
            <v>4</v>
          </cell>
          <cell r="G138">
            <v>0.2</v>
          </cell>
          <cell r="H138">
            <v>45630</v>
          </cell>
          <cell r="I138">
            <v>229.65</v>
          </cell>
        </row>
        <row r="139">
          <cell r="A139" t="str">
            <v>CUST015</v>
          </cell>
          <cell r="B139" t="str">
            <v>Emma Davis</v>
          </cell>
          <cell r="C139" t="str">
            <v>Central</v>
          </cell>
          <cell r="D139" t="str">
            <v>Electronics</v>
          </cell>
          <cell r="E139">
            <v>511.74</v>
          </cell>
          <cell r="F139">
            <v>8</v>
          </cell>
          <cell r="G139">
            <v>0.05</v>
          </cell>
          <cell r="H139">
            <v>45631</v>
          </cell>
          <cell r="I139">
            <v>121.54</v>
          </cell>
        </row>
        <row r="140">
          <cell r="A140" t="str">
            <v>CUST002</v>
          </cell>
          <cell r="B140" t="str">
            <v>Emma Wilson</v>
          </cell>
          <cell r="C140" t="str">
            <v>South</v>
          </cell>
          <cell r="D140" t="str">
            <v>Furniture</v>
          </cell>
          <cell r="E140">
            <v>806.03</v>
          </cell>
          <cell r="F140">
            <v>19</v>
          </cell>
          <cell r="G140">
            <v>0.05</v>
          </cell>
          <cell r="H140">
            <v>45638</v>
          </cell>
          <cell r="I140">
            <v>268</v>
          </cell>
        </row>
        <row r="141">
          <cell r="A141" t="str">
            <v>CUST001</v>
          </cell>
          <cell r="B141" t="str">
            <v>Michael Anderson</v>
          </cell>
          <cell r="C141" t="str">
            <v>Central</v>
          </cell>
          <cell r="D141" t="str">
            <v>Furniture</v>
          </cell>
          <cell r="E141">
            <v>1432.47</v>
          </cell>
          <cell r="F141">
            <v>16</v>
          </cell>
          <cell r="G141">
            <v>0.15</v>
          </cell>
          <cell r="H141">
            <v>45640</v>
          </cell>
          <cell r="I141">
            <v>426.16</v>
          </cell>
        </row>
        <row r="142">
          <cell r="A142" t="str">
            <v>CUST027</v>
          </cell>
          <cell r="B142" t="str">
            <v>Linda Wilson</v>
          </cell>
          <cell r="C142" t="str">
            <v>Central</v>
          </cell>
          <cell r="D142" t="str">
            <v>Electronics</v>
          </cell>
          <cell r="E142">
            <v>1488.58</v>
          </cell>
          <cell r="F142">
            <v>10</v>
          </cell>
          <cell r="G142">
            <v>0.15</v>
          </cell>
          <cell r="H142">
            <v>45640</v>
          </cell>
          <cell r="I142">
            <v>316.32</v>
          </cell>
        </row>
        <row r="143">
          <cell r="A143" t="str">
            <v>CUST026</v>
          </cell>
          <cell r="B143" t="str">
            <v>Emma Taylor</v>
          </cell>
          <cell r="C143" t="str">
            <v>East</v>
          </cell>
          <cell r="D143" t="str">
            <v>Books</v>
          </cell>
          <cell r="E143">
            <v>1231.26</v>
          </cell>
          <cell r="F143">
            <v>9</v>
          </cell>
          <cell r="G143">
            <v>0</v>
          </cell>
          <cell r="H143">
            <v>45646</v>
          </cell>
          <cell r="I143">
            <v>492.5</v>
          </cell>
        </row>
        <row r="144">
          <cell r="A144" t="str">
            <v>CUST026</v>
          </cell>
          <cell r="B144" t="str">
            <v>Sarah Anderson</v>
          </cell>
          <cell r="C144" t="str">
            <v>West</v>
          </cell>
          <cell r="D144" t="str">
            <v>Electronics</v>
          </cell>
          <cell r="E144">
            <v>1161.67</v>
          </cell>
          <cell r="F144">
            <v>19</v>
          </cell>
          <cell r="G144">
            <v>0.2</v>
          </cell>
          <cell r="H144">
            <v>45647</v>
          </cell>
          <cell r="I144">
            <v>232.33</v>
          </cell>
        </row>
        <row r="145">
          <cell r="A145" t="str">
            <v>CUST022</v>
          </cell>
          <cell r="B145" t="str">
            <v>Lisa Thomas</v>
          </cell>
          <cell r="C145" t="str">
            <v>Central</v>
          </cell>
          <cell r="D145" t="str">
            <v>Office Supplies</v>
          </cell>
          <cell r="E145">
            <v>388.23</v>
          </cell>
          <cell r="F145">
            <v>16</v>
          </cell>
          <cell r="G145">
            <v>0.05</v>
          </cell>
          <cell r="H145">
            <v>45650</v>
          </cell>
          <cell r="I145">
            <v>165.97</v>
          </cell>
        </row>
        <row r="146">
          <cell r="A146" t="str">
            <v>CUST004</v>
          </cell>
          <cell r="B146" t="str">
            <v>Mary Davis</v>
          </cell>
          <cell r="C146" t="str">
            <v>North</v>
          </cell>
          <cell r="D146" t="str">
            <v>Clothing</v>
          </cell>
          <cell r="E146">
            <v>1589.42</v>
          </cell>
          <cell r="F146">
            <v>6</v>
          </cell>
          <cell r="G146">
            <v>0.15</v>
          </cell>
          <cell r="H146">
            <v>45651</v>
          </cell>
          <cell r="I146">
            <v>675.5</v>
          </cell>
        </row>
        <row r="147">
          <cell r="A147" t="str">
            <v>CUST001</v>
          </cell>
          <cell r="B147" t="str">
            <v>David Anderson</v>
          </cell>
          <cell r="C147" t="str">
            <v>North</v>
          </cell>
          <cell r="D147" t="str">
            <v>Clothing</v>
          </cell>
          <cell r="E147">
            <v>336.66</v>
          </cell>
          <cell r="F147">
            <v>13</v>
          </cell>
          <cell r="G147">
            <v>0.2</v>
          </cell>
          <cell r="H147">
            <v>45651</v>
          </cell>
          <cell r="I147">
            <v>134.66</v>
          </cell>
        </row>
        <row r="148">
          <cell r="A148" t="str">
            <v>CUST022</v>
          </cell>
          <cell r="B148" t="str">
            <v>James Wilson</v>
          </cell>
          <cell r="C148" t="str">
            <v>West</v>
          </cell>
          <cell r="D148" t="str">
            <v>Books</v>
          </cell>
          <cell r="E148">
            <v>1353.79</v>
          </cell>
          <cell r="F148">
            <v>14</v>
          </cell>
          <cell r="G148">
            <v>0.1</v>
          </cell>
          <cell r="H148">
            <v>45656</v>
          </cell>
          <cell r="I148">
            <v>487.36</v>
          </cell>
        </row>
        <row r="149">
          <cell r="A149" t="str">
            <v>CUST011</v>
          </cell>
          <cell r="B149" t="str">
            <v>Linda Moore</v>
          </cell>
          <cell r="C149" t="str">
            <v>Central</v>
          </cell>
          <cell r="D149" t="str">
            <v>Clothing</v>
          </cell>
          <cell r="E149">
            <v>662.61</v>
          </cell>
          <cell r="F149">
            <v>11</v>
          </cell>
          <cell r="G149">
            <v>0.05</v>
          </cell>
          <cell r="H149">
            <v>45658</v>
          </cell>
          <cell r="I149">
            <v>314.74</v>
          </cell>
        </row>
        <row r="150">
          <cell r="A150" t="str">
            <v>CUST028</v>
          </cell>
          <cell r="B150" t="str">
            <v>Lisa Davis</v>
          </cell>
          <cell r="C150" t="str">
            <v>North</v>
          </cell>
          <cell r="D150" t="str">
            <v>Office Supplies</v>
          </cell>
          <cell r="E150">
            <v>309.42</v>
          </cell>
          <cell r="F150">
            <v>1</v>
          </cell>
          <cell r="G150">
            <v>0.2</v>
          </cell>
          <cell r="H150">
            <v>45658</v>
          </cell>
          <cell r="I150">
            <v>111.39</v>
          </cell>
        </row>
        <row r="151">
          <cell r="A151" t="str">
            <v>CUST011</v>
          </cell>
          <cell r="B151" t="str">
            <v>Linda Wilson</v>
          </cell>
          <cell r="C151" t="str">
            <v>North</v>
          </cell>
          <cell r="D151" t="str">
            <v>Books</v>
          </cell>
          <cell r="E151">
            <v>884.63</v>
          </cell>
          <cell r="F151">
            <v>18</v>
          </cell>
          <cell r="G151">
            <v>0.1</v>
          </cell>
          <cell r="H151">
            <v>45659</v>
          </cell>
          <cell r="I151">
            <v>318.47</v>
          </cell>
        </row>
        <row r="152">
          <cell r="A152" t="str">
            <v>CUST028</v>
          </cell>
          <cell r="B152" t="str">
            <v>James Wilson</v>
          </cell>
          <cell r="C152" t="str">
            <v>Central</v>
          </cell>
          <cell r="D152" t="str">
            <v>Office Supplies</v>
          </cell>
          <cell r="E152">
            <v>745.05</v>
          </cell>
          <cell r="F152">
            <v>10</v>
          </cell>
          <cell r="G152">
            <v>0.1</v>
          </cell>
          <cell r="H152">
            <v>45660</v>
          </cell>
          <cell r="I152">
            <v>301.75</v>
          </cell>
        </row>
        <row r="153">
          <cell r="A153" t="str">
            <v>CUST016</v>
          </cell>
          <cell r="B153" t="str">
            <v>James Taylor</v>
          </cell>
          <cell r="C153" t="str">
            <v>South</v>
          </cell>
          <cell r="D153" t="str">
            <v>Clothing</v>
          </cell>
          <cell r="E153">
            <v>870.23</v>
          </cell>
          <cell r="F153">
            <v>5</v>
          </cell>
          <cell r="G153">
            <v>0.05</v>
          </cell>
          <cell r="H153">
            <v>45660</v>
          </cell>
          <cell r="I153">
            <v>413.36</v>
          </cell>
        </row>
        <row r="154">
          <cell r="A154" t="str">
            <v>CUST010</v>
          </cell>
          <cell r="B154" t="str">
            <v>Linda Wilson</v>
          </cell>
          <cell r="C154" t="str">
            <v>West</v>
          </cell>
          <cell r="D154" t="str">
            <v>Furniture</v>
          </cell>
          <cell r="E154">
            <v>862.19</v>
          </cell>
          <cell r="F154">
            <v>18</v>
          </cell>
          <cell r="G154">
            <v>0.05</v>
          </cell>
          <cell r="H154">
            <v>45663</v>
          </cell>
          <cell r="I154">
            <v>286.68</v>
          </cell>
        </row>
        <row r="155">
          <cell r="A155" t="str">
            <v>CUST013</v>
          </cell>
          <cell r="B155" t="str">
            <v>Mary Wilson</v>
          </cell>
          <cell r="C155" t="str">
            <v>North</v>
          </cell>
          <cell r="D155" t="str">
            <v>Clothing</v>
          </cell>
          <cell r="E155">
            <v>1171.18</v>
          </cell>
          <cell r="F155">
            <v>19</v>
          </cell>
          <cell r="G155">
            <v>0.05</v>
          </cell>
          <cell r="H155">
            <v>45667</v>
          </cell>
          <cell r="I155">
            <v>556.31</v>
          </cell>
        </row>
        <row r="156">
          <cell r="A156" t="str">
            <v>CUST015</v>
          </cell>
          <cell r="B156" t="str">
            <v>Robert Anderson</v>
          </cell>
          <cell r="C156" t="str">
            <v>South</v>
          </cell>
          <cell r="D156" t="str">
            <v>Furniture</v>
          </cell>
          <cell r="E156">
            <v>1054.56</v>
          </cell>
          <cell r="F156">
            <v>11</v>
          </cell>
          <cell r="G156">
            <v>0.1</v>
          </cell>
          <cell r="H156">
            <v>45669</v>
          </cell>
          <cell r="I156">
            <v>332.19</v>
          </cell>
        </row>
        <row r="157">
          <cell r="A157" t="str">
            <v>CUST015</v>
          </cell>
          <cell r="B157" t="str">
            <v>James Wilson</v>
          </cell>
          <cell r="C157" t="str">
            <v>North</v>
          </cell>
          <cell r="D157" t="str">
            <v>Electronics</v>
          </cell>
          <cell r="E157">
            <v>1681.21</v>
          </cell>
          <cell r="F157">
            <v>5</v>
          </cell>
          <cell r="G157">
            <v>0.2</v>
          </cell>
          <cell r="H157">
            <v>45670</v>
          </cell>
          <cell r="I157">
            <v>336.24</v>
          </cell>
        </row>
        <row r="158">
          <cell r="A158" t="str">
            <v>CUST015</v>
          </cell>
          <cell r="B158" t="str">
            <v>David Thomas</v>
          </cell>
          <cell r="C158" t="str">
            <v>West</v>
          </cell>
          <cell r="D158" t="str">
            <v>Clothing</v>
          </cell>
          <cell r="E158">
            <v>379.77</v>
          </cell>
          <cell r="F158">
            <v>9</v>
          </cell>
          <cell r="G158">
            <v>0.05</v>
          </cell>
          <cell r="H158">
            <v>45673</v>
          </cell>
          <cell r="I158">
            <v>180.39</v>
          </cell>
        </row>
        <row r="159">
          <cell r="A159" t="str">
            <v>CUST008</v>
          </cell>
          <cell r="B159" t="str">
            <v>Lisa Thomas</v>
          </cell>
          <cell r="C159" t="str">
            <v>Central</v>
          </cell>
          <cell r="D159" t="str">
            <v>Clothing</v>
          </cell>
          <cell r="E159">
            <v>1076.33</v>
          </cell>
          <cell r="F159">
            <v>2</v>
          </cell>
          <cell r="G159">
            <v>0.1</v>
          </cell>
          <cell r="H159">
            <v>45674</v>
          </cell>
          <cell r="I159">
            <v>484.35</v>
          </cell>
        </row>
        <row r="160">
          <cell r="A160" t="str">
            <v>CUST008</v>
          </cell>
          <cell r="B160" t="str">
            <v>Mary Davis</v>
          </cell>
          <cell r="C160" t="str">
            <v>Central</v>
          </cell>
          <cell r="D160" t="str">
            <v>Office Supplies</v>
          </cell>
          <cell r="E160">
            <v>1250.71</v>
          </cell>
          <cell r="F160">
            <v>7</v>
          </cell>
          <cell r="G160">
            <v>0</v>
          </cell>
          <cell r="H160">
            <v>45674</v>
          </cell>
          <cell r="I160">
            <v>562.82</v>
          </cell>
        </row>
        <row r="161">
          <cell r="A161" t="str">
            <v>CUST023</v>
          </cell>
          <cell r="B161" t="str">
            <v>James Taylor</v>
          </cell>
          <cell r="C161" t="str">
            <v>South</v>
          </cell>
          <cell r="D161" t="str">
            <v>Clothing</v>
          </cell>
          <cell r="E161">
            <v>1118.34</v>
          </cell>
          <cell r="F161">
            <v>6</v>
          </cell>
          <cell r="G161">
            <v>0.2</v>
          </cell>
          <cell r="H161">
            <v>45674</v>
          </cell>
          <cell r="I161">
            <v>447.34</v>
          </cell>
        </row>
        <row r="162">
          <cell r="A162" t="str">
            <v>CUST024</v>
          </cell>
          <cell r="B162" t="str">
            <v>Linda Taylor</v>
          </cell>
          <cell r="C162" t="str">
            <v>North</v>
          </cell>
          <cell r="D162" t="str">
            <v>Clothing</v>
          </cell>
          <cell r="E162">
            <v>1622.62</v>
          </cell>
          <cell r="F162">
            <v>12</v>
          </cell>
          <cell r="G162">
            <v>0.2</v>
          </cell>
          <cell r="H162">
            <v>45677</v>
          </cell>
          <cell r="I162">
            <v>649.05</v>
          </cell>
        </row>
        <row r="163">
          <cell r="A163" t="str">
            <v>CUST018</v>
          </cell>
          <cell r="B163" t="str">
            <v>Lisa Davis</v>
          </cell>
          <cell r="C163" t="str">
            <v>North</v>
          </cell>
          <cell r="D163" t="str">
            <v>Books</v>
          </cell>
          <cell r="E163">
            <v>640.64</v>
          </cell>
          <cell r="F163">
            <v>11</v>
          </cell>
          <cell r="G163">
            <v>0.2</v>
          </cell>
          <cell r="H163">
            <v>45678</v>
          </cell>
          <cell r="I163">
            <v>205</v>
          </cell>
        </row>
        <row r="164">
          <cell r="A164" t="str">
            <v>CUST030</v>
          </cell>
          <cell r="B164" t="str">
            <v>Sarah Anderson</v>
          </cell>
          <cell r="C164" t="str">
            <v>West</v>
          </cell>
          <cell r="D164" t="str">
            <v>Clothing</v>
          </cell>
          <cell r="E164">
            <v>585.16</v>
          </cell>
          <cell r="F164">
            <v>17</v>
          </cell>
          <cell r="G164">
            <v>0.1</v>
          </cell>
          <cell r="H164">
            <v>45684</v>
          </cell>
          <cell r="I164">
            <v>263.32</v>
          </cell>
        </row>
        <row r="165">
          <cell r="A165" t="str">
            <v>CUST030</v>
          </cell>
          <cell r="B165" t="str">
            <v>Mary Davis</v>
          </cell>
          <cell r="C165" t="str">
            <v>East</v>
          </cell>
          <cell r="D165" t="str">
            <v>Clothing</v>
          </cell>
          <cell r="E165">
            <v>1109.98</v>
          </cell>
          <cell r="F165">
            <v>5</v>
          </cell>
          <cell r="G165">
            <v>0.2</v>
          </cell>
          <cell r="H165">
            <v>45690</v>
          </cell>
          <cell r="I165">
            <v>443.99</v>
          </cell>
        </row>
        <row r="166">
          <cell r="A166" t="str">
            <v>CUST015</v>
          </cell>
          <cell r="B166" t="str">
            <v>Lisa Thomas</v>
          </cell>
          <cell r="C166" t="str">
            <v>East</v>
          </cell>
          <cell r="D166" t="str">
            <v>Books</v>
          </cell>
          <cell r="E166">
            <v>1098.08</v>
          </cell>
          <cell r="F166">
            <v>9</v>
          </cell>
          <cell r="G166">
            <v>0.1</v>
          </cell>
          <cell r="H166">
            <v>45692</v>
          </cell>
          <cell r="I166">
            <v>395.31</v>
          </cell>
        </row>
        <row r="167">
          <cell r="A167" t="str">
            <v>CUST002</v>
          </cell>
          <cell r="B167" t="str">
            <v>Lisa Davis</v>
          </cell>
          <cell r="C167" t="str">
            <v>West</v>
          </cell>
          <cell r="D167" t="str">
            <v>Office Supplies</v>
          </cell>
          <cell r="E167">
            <v>827.25</v>
          </cell>
          <cell r="F167">
            <v>7</v>
          </cell>
          <cell r="G167">
            <v>0.1</v>
          </cell>
          <cell r="H167">
            <v>45693</v>
          </cell>
          <cell r="I167">
            <v>335.04</v>
          </cell>
        </row>
        <row r="168">
          <cell r="A168" t="str">
            <v>CUST024</v>
          </cell>
          <cell r="B168" t="str">
            <v>Linda Wilson</v>
          </cell>
          <cell r="C168" t="str">
            <v>Central</v>
          </cell>
          <cell r="D168" t="str">
            <v>Clothing</v>
          </cell>
          <cell r="E168">
            <v>741.88</v>
          </cell>
          <cell r="F168">
            <v>16</v>
          </cell>
          <cell r="G168">
            <v>0.1</v>
          </cell>
          <cell r="H168">
            <v>45695</v>
          </cell>
          <cell r="I168">
            <v>333.85</v>
          </cell>
        </row>
        <row r="169">
          <cell r="A169" t="str">
            <v>CUST004</v>
          </cell>
          <cell r="B169" t="str">
            <v>James Davis</v>
          </cell>
          <cell r="C169" t="str">
            <v>East</v>
          </cell>
          <cell r="D169" t="str">
            <v>Office Supplies</v>
          </cell>
          <cell r="E169">
            <v>1311.26</v>
          </cell>
          <cell r="F169">
            <v>6</v>
          </cell>
          <cell r="G169">
            <v>0.1</v>
          </cell>
          <cell r="H169">
            <v>45698</v>
          </cell>
          <cell r="I169">
            <v>531.06</v>
          </cell>
        </row>
        <row r="170">
          <cell r="A170" t="str">
            <v>CUST004</v>
          </cell>
          <cell r="B170" t="str">
            <v>Mary Davis</v>
          </cell>
          <cell r="C170" t="str">
            <v>South</v>
          </cell>
          <cell r="D170" t="str">
            <v>Office Supplies</v>
          </cell>
          <cell r="E170">
            <v>573.32</v>
          </cell>
          <cell r="F170">
            <v>19</v>
          </cell>
          <cell r="G170">
            <v>0.1</v>
          </cell>
          <cell r="H170">
            <v>45703</v>
          </cell>
          <cell r="I170">
            <v>232.19</v>
          </cell>
        </row>
        <row r="171">
          <cell r="A171" t="str">
            <v>CUST028</v>
          </cell>
          <cell r="B171" t="str">
            <v>James Wilson</v>
          </cell>
          <cell r="C171" t="str">
            <v>West</v>
          </cell>
          <cell r="D171" t="str">
            <v>Electronics</v>
          </cell>
          <cell r="E171">
            <v>1115.22</v>
          </cell>
          <cell r="F171">
            <v>14</v>
          </cell>
          <cell r="G171">
            <v>0.2</v>
          </cell>
          <cell r="H171">
            <v>45705</v>
          </cell>
          <cell r="I171">
            <v>223.04</v>
          </cell>
        </row>
        <row r="172">
          <cell r="A172" t="str">
            <v>CUST012</v>
          </cell>
          <cell r="B172" t="str">
            <v>Lisa Thomas</v>
          </cell>
          <cell r="C172" t="str">
            <v>North</v>
          </cell>
          <cell r="D172" t="str">
            <v>Clothing</v>
          </cell>
          <cell r="E172">
            <v>845.84</v>
          </cell>
          <cell r="F172">
            <v>4</v>
          </cell>
          <cell r="G172">
            <v>0</v>
          </cell>
          <cell r="H172">
            <v>45707</v>
          </cell>
          <cell r="I172">
            <v>422.92</v>
          </cell>
        </row>
        <row r="173">
          <cell r="A173" t="str">
            <v>CUST026</v>
          </cell>
          <cell r="B173" t="str">
            <v>David Brown</v>
          </cell>
          <cell r="C173" t="str">
            <v>West</v>
          </cell>
          <cell r="D173" t="str">
            <v>Electronics</v>
          </cell>
          <cell r="E173">
            <v>1029.8</v>
          </cell>
          <cell r="F173">
            <v>3</v>
          </cell>
          <cell r="G173">
            <v>0</v>
          </cell>
          <cell r="H173">
            <v>45708</v>
          </cell>
          <cell r="I173">
            <v>257.45</v>
          </cell>
        </row>
        <row r="174">
          <cell r="A174" t="str">
            <v>CUST009</v>
          </cell>
          <cell r="B174" t="str">
            <v>Mary Davis</v>
          </cell>
          <cell r="C174" t="str">
            <v>North</v>
          </cell>
          <cell r="D174" t="str">
            <v>Books</v>
          </cell>
          <cell r="E174">
            <v>1189.83</v>
          </cell>
          <cell r="F174">
            <v>2</v>
          </cell>
          <cell r="G174">
            <v>0.2</v>
          </cell>
          <cell r="H174">
            <v>45709</v>
          </cell>
          <cell r="I174">
            <v>380.75</v>
          </cell>
        </row>
        <row r="175">
          <cell r="A175" t="str">
            <v>CUST003</v>
          </cell>
          <cell r="B175" t="str">
            <v>Sarah Anderson</v>
          </cell>
          <cell r="C175" t="str">
            <v>South</v>
          </cell>
          <cell r="D175" t="str">
            <v>Books</v>
          </cell>
          <cell r="E175">
            <v>704.28</v>
          </cell>
          <cell r="F175">
            <v>15</v>
          </cell>
          <cell r="G175">
            <v>0.2</v>
          </cell>
          <cell r="H175">
            <v>45712</v>
          </cell>
          <cell r="I175">
            <v>225.37</v>
          </cell>
        </row>
        <row r="176">
          <cell r="A176" t="str">
            <v>CUST002</v>
          </cell>
          <cell r="B176" t="str">
            <v>Mary Jackson</v>
          </cell>
          <cell r="C176" t="str">
            <v>Central</v>
          </cell>
          <cell r="D176" t="str">
            <v>Office Supplies</v>
          </cell>
          <cell r="E176">
            <v>1618.22</v>
          </cell>
          <cell r="F176">
            <v>12</v>
          </cell>
          <cell r="G176">
            <v>0.2</v>
          </cell>
          <cell r="H176">
            <v>45712</v>
          </cell>
          <cell r="I176">
            <v>582.56</v>
          </cell>
        </row>
        <row r="177">
          <cell r="A177" t="str">
            <v>CUST013</v>
          </cell>
          <cell r="B177" t="str">
            <v>Linda Taylor</v>
          </cell>
          <cell r="C177" t="str">
            <v>Central</v>
          </cell>
          <cell r="D177" t="str">
            <v>Books</v>
          </cell>
          <cell r="E177">
            <v>1014.43</v>
          </cell>
          <cell r="F177">
            <v>2</v>
          </cell>
          <cell r="G177">
            <v>0.15</v>
          </cell>
          <cell r="H177">
            <v>45713</v>
          </cell>
          <cell r="I177">
            <v>344.91</v>
          </cell>
        </row>
        <row r="178">
          <cell r="A178" t="str">
            <v>CUST018</v>
          </cell>
          <cell r="B178" t="str">
            <v>Mary Davis</v>
          </cell>
          <cell r="C178" t="str">
            <v>Central</v>
          </cell>
          <cell r="D178" t="str">
            <v>Clothing</v>
          </cell>
          <cell r="E178">
            <v>826.97</v>
          </cell>
          <cell r="F178">
            <v>18</v>
          </cell>
          <cell r="G178">
            <v>0.2</v>
          </cell>
          <cell r="H178">
            <v>45715</v>
          </cell>
          <cell r="I178">
            <v>330.79</v>
          </cell>
        </row>
        <row r="179">
          <cell r="A179" t="str">
            <v>CUST017</v>
          </cell>
          <cell r="B179" t="str">
            <v>Mary Davis</v>
          </cell>
          <cell r="C179" t="str">
            <v>Central</v>
          </cell>
          <cell r="D179" t="str">
            <v>Clothing</v>
          </cell>
          <cell r="E179">
            <v>1022.23</v>
          </cell>
          <cell r="F179">
            <v>8</v>
          </cell>
          <cell r="G179">
            <v>0.1</v>
          </cell>
          <cell r="H179">
            <v>45717</v>
          </cell>
          <cell r="I179">
            <v>460</v>
          </cell>
        </row>
        <row r="180">
          <cell r="A180" t="str">
            <v>CUST004</v>
          </cell>
          <cell r="B180" t="str">
            <v>Linda Wilson</v>
          </cell>
          <cell r="C180" t="str">
            <v>East</v>
          </cell>
          <cell r="D180" t="str">
            <v>Books</v>
          </cell>
          <cell r="E180">
            <v>1099.69</v>
          </cell>
          <cell r="F180">
            <v>6</v>
          </cell>
          <cell r="G180">
            <v>0</v>
          </cell>
          <cell r="H180">
            <v>45718</v>
          </cell>
          <cell r="I180">
            <v>439.88</v>
          </cell>
        </row>
        <row r="181">
          <cell r="A181" t="str">
            <v>CUST028</v>
          </cell>
          <cell r="B181" t="str">
            <v>Sarah Davis</v>
          </cell>
          <cell r="C181" t="str">
            <v>North</v>
          </cell>
          <cell r="D181" t="str">
            <v>Books</v>
          </cell>
          <cell r="E181">
            <v>710.52</v>
          </cell>
          <cell r="F181">
            <v>8</v>
          </cell>
          <cell r="G181">
            <v>0.1</v>
          </cell>
          <cell r="H181">
            <v>45721</v>
          </cell>
          <cell r="I181">
            <v>255.79</v>
          </cell>
        </row>
        <row r="182">
          <cell r="A182" t="str">
            <v>CUST028</v>
          </cell>
          <cell r="B182" t="str">
            <v>Mary Wilson</v>
          </cell>
          <cell r="C182" t="str">
            <v>North</v>
          </cell>
          <cell r="D182" t="str">
            <v>Books</v>
          </cell>
          <cell r="E182">
            <v>499.18</v>
          </cell>
          <cell r="F182">
            <v>15</v>
          </cell>
          <cell r="G182">
            <v>0.2</v>
          </cell>
          <cell r="H182">
            <v>45724</v>
          </cell>
          <cell r="I182">
            <v>159.74</v>
          </cell>
        </row>
        <row r="183">
          <cell r="A183" t="str">
            <v>CUST014</v>
          </cell>
          <cell r="B183" t="str">
            <v>Emma Davis</v>
          </cell>
          <cell r="C183" t="str">
            <v>South</v>
          </cell>
          <cell r="D183" t="str">
            <v>Books</v>
          </cell>
          <cell r="E183">
            <v>1064.19</v>
          </cell>
          <cell r="F183">
            <v>18</v>
          </cell>
          <cell r="G183">
            <v>0.05</v>
          </cell>
          <cell r="H183">
            <v>45725</v>
          </cell>
          <cell r="I183">
            <v>404.39</v>
          </cell>
        </row>
        <row r="184">
          <cell r="A184" t="str">
            <v>CUST003</v>
          </cell>
          <cell r="B184" t="str">
            <v>Emma Davis</v>
          </cell>
          <cell r="C184" t="str">
            <v>East</v>
          </cell>
          <cell r="D184" t="str">
            <v>Office Supplies</v>
          </cell>
          <cell r="E184">
            <v>438.76</v>
          </cell>
          <cell r="F184">
            <v>18</v>
          </cell>
          <cell r="G184">
            <v>0.05</v>
          </cell>
          <cell r="H184">
            <v>45726</v>
          </cell>
          <cell r="I184">
            <v>187.57</v>
          </cell>
        </row>
        <row r="185">
          <cell r="A185" t="str">
            <v>CUST029</v>
          </cell>
          <cell r="B185" t="str">
            <v>David Brown</v>
          </cell>
          <cell r="C185" t="str">
            <v>West</v>
          </cell>
          <cell r="D185" t="str">
            <v>Clothing</v>
          </cell>
          <cell r="E185">
            <v>864.98</v>
          </cell>
          <cell r="F185">
            <v>2</v>
          </cell>
          <cell r="G185">
            <v>0.05</v>
          </cell>
          <cell r="H185">
            <v>45727</v>
          </cell>
          <cell r="I185">
            <v>410.87</v>
          </cell>
        </row>
        <row r="186">
          <cell r="A186" t="str">
            <v>CUST021</v>
          </cell>
          <cell r="B186" t="str">
            <v>David Brown</v>
          </cell>
          <cell r="C186" t="str">
            <v>West</v>
          </cell>
          <cell r="D186" t="str">
            <v>Furniture</v>
          </cell>
          <cell r="E186">
            <v>984.93</v>
          </cell>
          <cell r="F186">
            <v>14</v>
          </cell>
          <cell r="G186">
            <v>0.2</v>
          </cell>
          <cell r="H186">
            <v>45733</v>
          </cell>
          <cell r="I186">
            <v>275.78</v>
          </cell>
        </row>
        <row r="187">
          <cell r="A187" t="str">
            <v>CUST007</v>
          </cell>
          <cell r="B187" t="str">
            <v>David Brown</v>
          </cell>
          <cell r="C187" t="str">
            <v>West</v>
          </cell>
          <cell r="D187" t="str">
            <v>Clothing</v>
          </cell>
          <cell r="E187">
            <v>1493.49</v>
          </cell>
          <cell r="F187">
            <v>18</v>
          </cell>
          <cell r="G187">
            <v>0</v>
          </cell>
          <cell r="H187">
            <v>45734</v>
          </cell>
          <cell r="I187">
            <v>746.74</v>
          </cell>
        </row>
        <row r="188">
          <cell r="A188" t="str">
            <v>CUST009</v>
          </cell>
          <cell r="B188" t="str">
            <v>Linda Taylor</v>
          </cell>
          <cell r="C188" t="str">
            <v>South</v>
          </cell>
          <cell r="D188" t="str">
            <v>Clothing</v>
          </cell>
          <cell r="E188">
            <v>689.43</v>
          </cell>
          <cell r="F188">
            <v>9</v>
          </cell>
          <cell r="G188">
            <v>0.1</v>
          </cell>
          <cell r="H188">
            <v>45736</v>
          </cell>
          <cell r="I188">
            <v>310.24</v>
          </cell>
        </row>
        <row r="189">
          <cell r="A189" t="str">
            <v>CUST023</v>
          </cell>
          <cell r="B189" t="str">
            <v>Mary Wilson</v>
          </cell>
          <cell r="C189" t="str">
            <v>South</v>
          </cell>
          <cell r="D189" t="str">
            <v>Clothing</v>
          </cell>
          <cell r="E189">
            <v>682.24</v>
          </cell>
          <cell r="F189">
            <v>1</v>
          </cell>
          <cell r="G189">
            <v>0</v>
          </cell>
          <cell r="H189">
            <v>45738</v>
          </cell>
          <cell r="I189">
            <v>341.12</v>
          </cell>
        </row>
        <row r="190">
          <cell r="A190" t="str">
            <v>CUST029</v>
          </cell>
          <cell r="B190" t="str">
            <v>Michael Anderson</v>
          </cell>
          <cell r="C190" t="str">
            <v>North</v>
          </cell>
          <cell r="D190" t="str">
            <v>Electronics</v>
          </cell>
          <cell r="E190">
            <v>458.54</v>
          </cell>
          <cell r="F190">
            <v>15</v>
          </cell>
          <cell r="G190">
            <v>0.2</v>
          </cell>
          <cell r="H190">
            <v>45741</v>
          </cell>
          <cell r="I190">
            <v>91.71</v>
          </cell>
        </row>
        <row r="191">
          <cell r="A191" t="str">
            <v>CUST009</v>
          </cell>
          <cell r="B191" t="str">
            <v>Michael Anderson</v>
          </cell>
          <cell r="C191" t="str">
            <v>South</v>
          </cell>
          <cell r="D191" t="str">
            <v>Furniture</v>
          </cell>
          <cell r="E191">
            <v>1184.25</v>
          </cell>
          <cell r="F191">
            <v>11</v>
          </cell>
          <cell r="G191">
            <v>0.2</v>
          </cell>
          <cell r="H191">
            <v>45742</v>
          </cell>
          <cell r="I191">
            <v>331.59</v>
          </cell>
        </row>
        <row r="192">
          <cell r="A192" t="str">
            <v>CUST007</v>
          </cell>
          <cell r="B192" t="str">
            <v>James Davis</v>
          </cell>
          <cell r="C192" t="str">
            <v>South</v>
          </cell>
          <cell r="D192" t="str">
            <v>Clothing</v>
          </cell>
          <cell r="E192">
            <v>762.14</v>
          </cell>
          <cell r="F192">
            <v>9</v>
          </cell>
          <cell r="G192">
            <v>0</v>
          </cell>
          <cell r="H192">
            <v>45743</v>
          </cell>
          <cell r="I192">
            <v>381.07</v>
          </cell>
        </row>
        <row r="193">
          <cell r="A193" t="str">
            <v>CUST030</v>
          </cell>
          <cell r="B193" t="str">
            <v>Linda Taylor</v>
          </cell>
          <cell r="C193" t="str">
            <v>North</v>
          </cell>
          <cell r="D193" t="str">
            <v>Books</v>
          </cell>
          <cell r="E193">
            <v>750.71</v>
          </cell>
          <cell r="F193">
            <v>10</v>
          </cell>
          <cell r="G193">
            <v>0.15</v>
          </cell>
          <cell r="H193">
            <v>45743</v>
          </cell>
          <cell r="I193">
            <v>255.24</v>
          </cell>
        </row>
        <row r="194">
          <cell r="A194" t="str">
            <v>CUST018</v>
          </cell>
          <cell r="B194" t="str">
            <v>David Anderson</v>
          </cell>
          <cell r="C194" t="str">
            <v>Central</v>
          </cell>
          <cell r="D194" t="str">
            <v>Clothing</v>
          </cell>
          <cell r="E194">
            <v>1456.94</v>
          </cell>
          <cell r="F194">
            <v>14</v>
          </cell>
          <cell r="G194">
            <v>0.05</v>
          </cell>
          <cell r="H194">
            <v>45745</v>
          </cell>
          <cell r="I194">
            <v>692.05</v>
          </cell>
        </row>
        <row r="195">
          <cell r="A195" t="str">
            <v>CUST008</v>
          </cell>
          <cell r="B195" t="str">
            <v>Emma Wilson</v>
          </cell>
          <cell r="C195" t="str">
            <v>East</v>
          </cell>
          <cell r="D195" t="str">
            <v>Furniture</v>
          </cell>
          <cell r="E195">
            <v>1093.38</v>
          </cell>
          <cell r="F195">
            <v>17</v>
          </cell>
          <cell r="G195">
            <v>0.1</v>
          </cell>
          <cell r="H195">
            <v>45745</v>
          </cell>
          <cell r="I195">
            <v>344.41</v>
          </cell>
        </row>
        <row r="196">
          <cell r="A196" t="str">
            <v>CUST014</v>
          </cell>
          <cell r="B196" t="str">
            <v>Sarah Anderson</v>
          </cell>
          <cell r="C196" t="str">
            <v>West</v>
          </cell>
          <cell r="D196" t="str">
            <v>Clothing</v>
          </cell>
          <cell r="E196">
            <v>934.27</v>
          </cell>
          <cell r="F196">
            <v>8</v>
          </cell>
          <cell r="G196">
            <v>0.15</v>
          </cell>
          <cell r="H196">
            <v>45746</v>
          </cell>
          <cell r="I196">
            <v>397.06</v>
          </cell>
        </row>
        <row r="197">
          <cell r="A197" t="str">
            <v>CUST024</v>
          </cell>
          <cell r="B197" t="str">
            <v>David Thomas</v>
          </cell>
          <cell r="C197" t="str">
            <v>Central</v>
          </cell>
          <cell r="D197" t="str">
            <v>Clothing</v>
          </cell>
          <cell r="E197">
            <v>1465.35</v>
          </cell>
          <cell r="F197">
            <v>8</v>
          </cell>
          <cell r="G197">
            <v>0.2</v>
          </cell>
          <cell r="H197">
            <v>45746</v>
          </cell>
          <cell r="I197">
            <v>586.14</v>
          </cell>
        </row>
        <row r="198">
          <cell r="A198" t="str">
            <v>CUST028</v>
          </cell>
          <cell r="B198" t="str">
            <v>Robert Anderson</v>
          </cell>
          <cell r="C198" t="str">
            <v>South</v>
          </cell>
          <cell r="D198" t="str">
            <v>Office Supplies</v>
          </cell>
          <cell r="E198">
            <v>740.8</v>
          </cell>
          <cell r="F198">
            <v>3</v>
          </cell>
          <cell r="G198">
            <v>0</v>
          </cell>
          <cell r="H198">
            <v>45749</v>
          </cell>
          <cell r="I198">
            <v>333.36</v>
          </cell>
        </row>
        <row r="199">
          <cell r="A199" t="str">
            <v>CUST015</v>
          </cell>
          <cell r="B199" t="str">
            <v>Sarah Anderson</v>
          </cell>
          <cell r="C199" t="str">
            <v>West</v>
          </cell>
          <cell r="D199" t="str">
            <v>Office Supplies</v>
          </cell>
          <cell r="E199">
            <v>545.44</v>
          </cell>
          <cell r="F199">
            <v>17</v>
          </cell>
          <cell r="G199">
            <v>0</v>
          </cell>
          <cell r="H199">
            <v>45752</v>
          </cell>
          <cell r="I199">
            <v>245.45</v>
          </cell>
        </row>
        <row r="200">
          <cell r="A200" t="str">
            <v>CUST010</v>
          </cell>
          <cell r="B200" t="str">
            <v>David Thomas</v>
          </cell>
          <cell r="C200" t="str">
            <v>East</v>
          </cell>
          <cell r="D200" t="str">
            <v>Books</v>
          </cell>
          <cell r="E200">
            <v>997.61</v>
          </cell>
          <cell r="F200">
            <v>8</v>
          </cell>
          <cell r="G200">
            <v>0.05</v>
          </cell>
          <cell r="H200">
            <v>45752</v>
          </cell>
          <cell r="I200">
            <v>379.09</v>
          </cell>
        </row>
        <row r="201">
          <cell r="A201" t="str">
            <v>CUST016</v>
          </cell>
          <cell r="B201" t="str">
            <v>David Thomas</v>
          </cell>
          <cell r="C201" t="str">
            <v>South</v>
          </cell>
          <cell r="D201" t="str">
            <v>Clothing</v>
          </cell>
          <cell r="E201">
            <v>928.32</v>
          </cell>
          <cell r="F201">
            <v>2</v>
          </cell>
          <cell r="G201">
            <v>0.05</v>
          </cell>
          <cell r="H201">
            <v>45754</v>
          </cell>
          <cell r="I201">
            <v>440.95</v>
          </cell>
        </row>
      </sheetData>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rishi\OneDrive\Desktop\krina.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10.8569212963" refreshedBy="rishi" recordCount="200">
  <cacheSource type="worksheet">
    <worksheetSource ref="A1:K201" sheet="Dataset"/>
  </cacheSource>
  <cacheFields count="11">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0" maxValue="1923.66" count="200">
        <n v="1036.09"/>
        <n v="1101.28"/>
        <n v="713.34"/>
        <n v="760.93"/>
        <n v="847"/>
        <n v="965.64"/>
        <n v="1317.53"/>
        <n v="1074.47"/>
        <n v="501.54"/>
        <n v="737.31"/>
        <n v="1572.82"/>
        <n v="1343.13"/>
        <n v="1191.58"/>
        <n v="822.28"/>
        <n v="521.67"/>
        <n v="1502.93"/>
        <n v="877.58"/>
        <n v="636.7"/>
        <n v="1506.14"/>
        <n v="645.02"/>
        <n v="953.3"/>
        <n v="388.56"/>
        <n v="743.17"/>
        <n v="706.37"/>
        <n v="925.31"/>
        <n v="1173.12"/>
        <n v="675.54"/>
        <n v="939.09"/>
        <n v="983.34"/>
        <n v="801.21"/>
        <n v="1450.71"/>
        <n v="1023.21"/>
        <n v="853.72"/>
        <n v="967.89"/>
        <n v="1200.9"/>
        <n v="472.38"/>
        <n v="840.92"/>
        <n v="1410.06"/>
        <n v="773.09"/>
        <n v="580.43"/>
        <n v="1151.21"/>
        <n v="1025.98"/>
        <n v="556.42"/>
        <n v="840.85"/>
        <n v="1227.25"/>
        <n v="856.7"/>
        <n v="1225.42"/>
        <n v="1001.57"/>
        <n v="1186.85"/>
        <n v="775.45"/>
        <n v="1021.47"/>
        <n v="1226.62"/>
        <n v="1086.93"/>
        <n v="942.9"/>
        <n v="818.8"/>
        <n v="919.04"/>
        <n v="973.26"/>
        <n v="741.61"/>
        <n v="1248.82"/>
        <n v="1360.36"/>
        <n v="1383.3"/>
        <n v="488.99"/>
        <n v="933.71"/>
        <n v="1005.53"/>
        <n v="1100.1"/>
        <n v="1034.7"/>
        <n v="876.44"/>
        <n v="1371.34"/>
        <n v="1020.26"/>
        <n v="804.81"/>
        <n v="608.66"/>
        <n v="981.2"/>
        <n v="539.77"/>
        <n v="804.45"/>
        <n v="1526.6"/>
        <n v="1215.26"/>
        <n v="1261.34"/>
        <n v="518.07"/>
        <n v="1111.34"/>
        <n v="1291.47"/>
        <n v="679.71"/>
        <n v="1143.69"/>
        <n v="790.08"/>
        <n v="1070.68"/>
        <n v="1168.89"/>
        <n v="1335.87"/>
        <n v="873.7"/>
        <n v="1443.98"/>
        <n v="1154.33"/>
        <n v="1264.49"/>
        <n v="1101.55"/>
        <n v="727.73"/>
        <n v="875.41"/>
        <n v="1158.94"/>
        <n v="966.3"/>
        <n v="917.48"/>
        <n v="1172.97"/>
        <n v="1205.82"/>
        <n v="826.93"/>
        <n v="902.19"/>
        <n v="585.97"/>
        <n v="990.19"/>
        <n v="1014.09"/>
        <n v="925.29"/>
        <n v="1286.54"/>
        <n v="961.62"/>
        <n v="1081.14"/>
        <n v="1923.66"/>
        <n v="728.71"/>
        <n v="1301.89"/>
        <n v="980.18"/>
        <n v="697.57"/>
        <n v="1193.61"/>
        <n v="771.02"/>
        <n v="661.09"/>
        <n v="688.83"/>
        <n v="1249.1"/>
        <n v="1014.22"/>
        <n v="1010.58"/>
        <n v="957.29"/>
        <n v="1077.92"/>
        <n v="1163.01"/>
        <n v="1014.56"/>
        <n v="718.04"/>
        <n v="1277.85"/>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4"/>
        <n v="1622.62"/>
        <n v="640.64"/>
        <n v="585.16"/>
        <n v="1109.98"/>
        <n v="1098.08"/>
        <n v="827.25"/>
        <n v="741.88"/>
        <n v="1311.26"/>
        <n v="573.32"/>
        <n v="1115.22"/>
        <n v="845.84"/>
        <n v="1029.8"/>
        <n v="1189.83"/>
        <n v="704.28"/>
        <n v="1618.22"/>
        <n v="1014.43"/>
        <n v="826.97"/>
        <n v="1022.23"/>
        <n v="1099.69"/>
        <n v="710.52"/>
        <n v="499.18"/>
        <n v="1064.19"/>
        <n v="438.76"/>
        <n v="864.98"/>
        <n v="984.93"/>
        <n v="1493.49"/>
        <n v="689.43"/>
        <n v="682.24"/>
        <n v="458.54"/>
        <n v="1184.25"/>
        <n v="762.14"/>
        <n v="750.71"/>
        <n v="1456.94"/>
        <n v="1093.38"/>
        <n v="934.27"/>
        <n v="1465.35"/>
        <n v="740.8"/>
        <n v="545.44"/>
        <n v="997.61"/>
        <n v="928.32"/>
      </sharedItems>
    </cacheField>
    <cacheField name="Quantity" numFmtId="0">
      <sharedItems containsSemiMixedTypes="0" containsString="0" containsNumber="1" containsInteger="1" minValue="0" maxValue="19" count="19">
        <n v="4"/>
        <n v="3"/>
        <n v="17"/>
        <n v="12"/>
        <n v="8"/>
        <n v="6"/>
        <n v="11"/>
        <n v="2"/>
        <n v="14"/>
        <n v="7"/>
        <n v="15"/>
        <n v="10"/>
        <n v="13"/>
        <n v="9"/>
        <n v="18"/>
        <n v="19"/>
        <n v="5"/>
        <n v="1"/>
        <n v="16"/>
      </sharedItems>
    </cacheField>
    <cacheField name="Discount" numFmtId="0">
      <sharedItems containsSemiMixedTypes="0" containsString="0" containsNumber="1" minValue="0" maxValue="0.2" count="5">
        <n v="0.2"/>
        <n v="0"/>
        <n v="0.15"/>
        <n v="0.1"/>
        <n v="0.05"/>
      </sharedItems>
    </cacheField>
    <cacheField name="Order_Date" numFmtId="181">
      <sharedItems containsSemiMixedTypes="0" containsString="0" containsNonDate="0" containsDate="1" minDate="2024-04-10T00:00:00" maxDate="2025-04-07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Profit" numFmtId="0">
      <sharedItems containsSemiMixedTypes="0" containsString="0" containsNumber="1" minValue="0" maxValue="769.46" count="200">
        <n v="331.55"/>
        <n v="440.51"/>
        <n v="285.34"/>
        <n v="161.7"/>
        <n v="271.04"/>
        <n v="304.18"/>
        <n v="312.91"/>
        <n v="300.85"/>
        <n v="190.59"/>
        <n v="350.22"/>
        <n v="672.38"/>
        <n v="456.66"/>
        <n v="452.8"/>
        <n v="273.41"/>
        <n v="155.2"/>
        <n v="300.59"/>
        <n v="298.38"/>
        <n v="203.74"/>
        <n v="481.96"/>
        <n v="161.26"/>
        <n v="476.65"/>
        <n v="82.57"/>
        <n v="297.27"/>
        <n v="176.59"/>
        <n v="374.75"/>
        <n v="293.28"/>
        <n v="236.44"/>
        <n v="356.85"/>
        <n v="398.25"/>
        <n v="160.24"/>
        <n v="326.41"/>
        <n v="388.82"/>
        <n v="253.98"/>
        <n v="217.78"/>
        <n v="513.38"/>
        <n v="151.16"/>
        <n v="359.49"/>
        <n v="468.84"/>
        <n v="229.99"/>
        <n v="197.35"/>
        <n v="414.44"/>
        <n v="369.35"/>
        <n v="212.83"/>
        <n v="302.71"/>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
        <n v="367.59"/>
        <n v="769.46"/>
        <n v="327.92"/>
        <n v="553.3"/>
        <n v="352.86"/>
        <n v="313.91"/>
        <n v="355.1"/>
        <n v="192.76"/>
        <n v="264.44"/>
        <n v="172.21"/>
        <n v="474.66"/>
        <n v="433.58"/>
        <n v="343.6"/>
        <n v="318.3"/>
        <n v="358.41"/>
        <n v="581.5"/>
        <n v="410.9"/>
        <n v="179.51"/>
        <n v="511.14"/>
        <n v="150.18"/>
        <n v="352.65"/>
        <n v="472.62"/>
        <n v="195.33"/>
        <n v="64.63"/>
        <n v="461.12"/>
        <n v="437.11"/>
        <n v="268.97"/>
        <n v="265.26"/>
        <n v="178.91"/>
        <n v="356.5"/>
        <n v="229.65"/>
        <n v="121.54"/>
        <n v="268"/>
        <n v="426.16"/>
        <n v="316.32"/>
        <n v="492.5"/>
        <n v="232.33"/>
        <n v="165.97"/>
        <n v="675.5"/>
        <n v="134.66"/>
        <n v="487.36"/>
        <n v="314.74"/>
        <n v="111.39"/>
        <n v="318.47"/>
        <n v="301.75"/>
        <n v="413.36"/>
        <n v="286.68"/>
        <n v="556.31"/>
        <n v="332.19"/>
        <n v="336.24"/>
        <n v="180.39"/>
        <n v="484.35"/>
        <n v="562.82"/>
        <n v="447.34"/>
        <n v="649.05"/>
        <n v="205"/>
        <n v="263.32"/>
        <n v="443.99"/>
        <n v="395.31"/>
        <n v="335.04"/>
        <n v="333.85"/>
        <n v="531.06"/>
        <n v="232.19"/>
        <n v="223.04"/>
        <n v="422.92"/>
        <n v="257.45"/>
        <n v="380.75"/>
        <n v="225.37"/>
        <n v="582.56"/>
        <n v="344.91"/>
        <n v="330.79"/>
        <n v="460"/>
        <n v="439.88"/>
        <n v="255.79"/>
        <n v="159.74"/>
        <n v="404.39"/>
        <n v="187.57"/>
        <n v="410.87"/>
        <n v="275.78"/>
        <n v="746.74"/>
        <n v="310.24"/>
        <n v="341.12"/>
        <n v="91.71"/>
        <n v="331.59"/>
        <n v="381.07"/>
        <n v="255.24"/>
        <n v="692.05"/>
        <n v="344.41"/>
        <n v="397.06"/>
        <n v="586.14"/>
        <n v="333.36"/>
        <n v="245.45"/>
        <n v="379.09"/>
        <n v="440.95"/>
      </sharedItems>
    </cacheField>
    <cacheField name="Total Purchase" numFmtId="0">
      <sharedItems containsSemiMixedTypes="0" containsString="0" containsNumber="1" minValue="0" maxValue="20774.74" count="27">
        <n v="6255.7"/>
        <n v="8331.85"/>
        <n v="5615.28"/>
        <n v="20774.74"/>
        <n v="7881.9"/>
        <n v="9970.2"/>
        <n v="17143.29"/>
        <n v="3968.59"/>
        <n v="7020.38"/>
        <n v="11398.32"/>
        <n v="1672.88"/>
        <n v="7296.19"/>
        <n v="8635.95"/>
        <n v="7251.18"/>
        <n v="8090.12"/>
        <n v="5801.29"/>
        <n v="1450.99"/>
        <n v="7522.77"/>
        <n v="11915.83"/>
        <n v="3819.14"/>
        <n v="5443.34"/>
        <n v="8543.97"/>
        <n v="856.7"/>
        <n v="5771.59"/>
        <n v="5014.96"/>
        <n v="2304.9"/>
        <n v="5465.71"/>
      </sharedItems>
    </cacheField>
    <cacheField name="Adjusted Profit" numFmtId="0">
      <sharedItems containsSemiMixedTypes="0" containsString="0" containsNumber="1" minValue="0" maxValue="1538.928" count="200">
        <n v="828.872"/>
        <n v="881.024"/>
        <n v="713.34"/>
        <n v="646.7905"/>
        <n v="677.6"/>
        <n v="869.076"/>
        <n v="1251.6535"/>
        <n v="859.576"/>
        <n v="476.463"/>
        <n v="700.4445"/>
        <n v="1494.179"/>
        <n v="1141.6605"/>
        <n v="1132.001"/>
        <n v="781.166"/>
        <n v="443.4195"/>
        <n v="1202.344"/>
        <n v="745.943"/>
        <n v="509.36"/>
        <n v="1204.912"/>
        <n v="645.02"/>
        <n v="953.3"/>
        <n v="330.276"/>
        <n v="743.17"/>
        <n v="706.37"/>
        <n v="832.779"/>
        <n v="1173.12"/>
        <n v="675.54"/>
        <n v="892.1355"/>
        <n v="885.006"/>
        <n v="640.968"/>
        <n v="1305.639"/>
        <n v="972.0495"/>
        <n v="725.662"/>
        <n v="871.101"/>
        <n v="1140.855"/>
        <n v="377.904"/>
        <n v="798.874"/>
        <n v="1339.557"/>
        <n v="657.1265"/>
        <n v="493.3655"/>
        <n v="1036.089"/>
        <n v="820.784"/>
        <n v="472.957"/>
        <n v="756.765"/>
        <n v="1043.1625"/>
        <n v="856.7"/>
        <n v="1041.607"/>
        <n v="1001.57"/>
        <n v="949.48"/>
        <n v="697.905"/>
        <n v="970.3965"/>
        <n v="1103.958"/>
        <n v="1086.93"/>
        <n v="848.61"/>
        <n v="695.98"/>
        <n v="735.232"/>
        <n v="973.26"/>
        <n v="593.288"/>
        <n v="1123.938"/>
        <n v="1360.36"/>
        <n v="1244.97"/>
        <n v="488.99"/>
        <n v="840.339"/>
        <n v="804.424"/>
        <n v="1045.095"/>
        <n v="879.495"/>
        <n v="832.618"/>
        <n v="1302.773"/>
        <n v="969.247"/>
        <n v="764.5695"/>
        <n v="578.227"/>
        <n v="981.2"/>
        <n v="458.8045"/>
        <n v="643.56"/>
        <n v="1221.28"/>
        <n v="1032.971"/>
        <n v="1261.34"/>
        <n v="492.1665"/>
        <n v="1111.34"/>
        <n v="1162.323"/>
        <n v="679.71"/>
        <n v="1143.69"/>
        <n v="711.072"/>
        <n v="1017.146"/>
        <n v="1052.001"/>
        <n v="1335.87"/>
        <n v="873.7"/>
        <n v="1443.98"/>
        <n v="981.1805"/>
        <n v="1201.2655"/>
        <n v="991.395"/>
        <n v="654.957"/>
        <n v="744.0985"/>
        <n v="927.152"/>
        <n v="821.355"/>
        <n v="917.48"/>
        <n v="997.0245"/>
        <n v="1085.238"/>
        <n v="661.544"/>
        <n v="902.19"/>
        <n v="527.373"/>
        <n v="891.171"/>
        <n v="811.272"/>
        <n v="925.29"/>
        <n v="1286.54"/>
        <n v="769.296"/>
        <n v="918.969"/>
        <n v="1538.928"/>
        <n v="655.839"/>
        <n v="1106.6065"/>
        <n v="882.162"/>
        <n v="627.813"/>
        <n v="1014.5685"/>
        <n v="771.02"/>
        <n v="528.872"/>
        <n v="688.83"/>
        <n v="1186.645"/>
        <n v="963.509"/>
        <n v="858.993"/>
        <n v="909.4255"/>
        <n v="1024.024"/>
        <n v="1163.01"/>
        <n v="913.104"/>
        <n v="718.04"/>
        <n v="1022.28"/>
        <n v="600.7205"/>
        <n v="1410.59"/>
        <n v="1350.33"/>
        <n v="781.303"/>
        <n v="258.51"/>
        <n v="1152.806"/>
        <n v="1092.766"/>
        <n v="768.474"/>
        <n v="1061.04"/>
        <n v="715.64"/>
        <n v="792.2145"/>
        <n v="656.152"/>
        <n v="486.153"/>
        <n v="765.7285"/>
        <n v="1217.5995"/>
        <n v="1265.293"/>
        <n v="1231.26"/>
        <n v="929.336"/>
        <n v="368.8185"/>
        <n v="1351.007"/>
        <n v="269.328"/>
        <n v="1218.411"/>
        <n v="629.4795"/>
        <n v="247.536"/>
        <n v="796.167"/>
        <n v="670.545"/>
        <n v="826.7185"/>
        <n v="819.0805"/>
        <n v="1112.621"/>
        <n v="949.104"/>
        <n v="1344.968"/>
        <n v="360.7815"/>
        <n v="968.697"/>
        <n v="1250.71"/>
        <n v="894.672"/>
        <n v="1298.096"/>
        <n v="512.512"/>
        <n v="526.644"/>
        <n v="887.984"/>
        <n v="988.272"/>
        <n v="744.525"/>
        <n v="667.692"/>
        <n v="1180.134"/>
        <n v="515.988"/>
        <n v="892.176"/>
        <n v="845.84"/>
        <n v="1029.8"/>
        <n v="951.864"/>
        <n v="563.424"/>
        <n v="1294.576"/>
        <n v="862.2655"/>
        <n v="661.576"/>
        <n v="920.007"/>
        <n v="1099.69"/>
        <n v="639.468"/>
        <n v="399.344"/>
        <n v="1010.9805"/>
        <n v="416.822"/>
        <n v="821.731"/>
        <n v="787.944"/>
        <n v="1493.49"/>
        <n v="620.487"/>
        <n v="682.24"/>
        <n v="366.832"/>
        <n v="947.4"/>
        <n v="762.14"/>
        <n v="638.1035"/>
        <n v="1384.093"/>
        <n v="984.042"/>
        <n v="794.1295"/>
        <n v="1172.28"/>
        <n v="740.8"/>
        <n v="545.44"/>
        <n v="947.7295"/>
        <n v="881.904"/>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6008.779743287" refreshedBy="Krina Suthar" recordCount="200">
  <cacheSource type="worksheet">
    <worksheetSource ref="A1:I201" sheet="Dataset" r:id="rId2"/>
  </cacheSource>
  <cacheFields count="12">
    <cacheField name="Customer_ID" numFmtId="0"/>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9"/>
        <n v="1101.28"/>
        <n v="713.34"/>
        <n v="760.93"/>
        <n v="847"/>
        <n v="965.64"/>
        <n v="1317.53"/>
        <n v="1074.47"/>
        <n v="501.54"/>
        <n v="737.31"/>
        <n v="1572.82"/>
        <n v="1343.13"/>
        <n v="1191.58"/>
        <n v="822.28"/>
        <n v="521.67"/>
        <n v="1502.93"/>
        <n v="877.58"/>
        <n v="636.7"/>
        <n v="1506.14"/>
        <n v="645.02"/>
        <n v="953.3"/>
        <n v="388.56"/>
        <n v="743.17"/>
        <n v="706.37"/>
        <n v="925.31"/>
        <n v="1173.12"/>
        <n v="675.54"/>
        <n v="939.09"/>
        <n v="983.34"/>
        <n v="801.21"/>
        <n v="1450.71"/>
        <n v="1023.21"/>
        <n v="853.72"/>
        <n v="967.89"/>
        <n v="1200.9"/>
        <n v="472.38"/>
        <n v="840.92"/>
        <n v="1410.06"/>
        <n v="773.09"/>
        <n v="580.43"/>
        <n v="1151.21"/>
        <n v="1025.98"/>
        <n v="556.42"/>
        <n v="840.85"/>
        <n v="1227.25"/>
        <n v="856.7"/>
        <n v="1225.42"/>
        <n v="1001.57"/>
        <n v="1186.85"/>
        <n v="775.45"/>
        <n v="1021.47"/>
        <n v="1226.62"/>
        <n v="1086.93"/>
        <n v="942.9"/>
        <n v="818.8"/>
        <n v="919.04"/>
        <n v="973.26"/>
        <n v="741.61"/>
        <n v="1248.82"/>
        <n v="1360.36"/>
        <n v="1383.3"/>
        <n v="488.99"/>
        <n v="933.71"/>
        <n v="1005.53"/>
        <n v="1100.1"/>
        <n v="1034.7"/>
        <n v="876.44"/>
        <n v="1371.34"/>
        <n v="1020.26"/>
        <n v="804.81"/>
        <n v="608.66"/>
        <n v="981.2"/>
        <n v="539.77"/>
        <n v="804.45"/>
        <n v="1526.6"/>
        <n v="1215.26"/>
        <n v="1261.34"/>
        <n v="518.07"/>
        <n v="1111.34"/>
        <n v="1291.47"/>
        <n v="679.71"/>
        <n v="1143.69"/>
        <n v="790.08"/>
        <n v="1070.68"/>
        <n v="1168.89"/>
        <n v="1335.87"/>
        <n v="873.7"/>
        <n v="1443.98"/>
        <n v="1154.33"/>
        <n v="1264.49"/>
        <n v="1101.55"/>
        <n v="727.73"/>
        <n v="875.41"/>
        <n v="1158.94"/>
        <n v="966.3"/>
        <n v="917.48"/>
        <n v="1172.97"/>
        <n v="1205.82"/>
        <n v="826.93"/>
        <n v="902.19"/>
        <n v="585.97"/>
        <n v="990.19"/>
        <n v="1014.09"/>
        <n v="925.29"/>
        <n v="1286.54"/>
        <n v="961.62"/>
        <n v="1081.14"/>
        <n v="1923.66"/>
        <n v="728.71"/>
        <n v="1301.89"/>
        <n v="980.18"/>
        <n v="697.57"/>
        <n v="1193.61"/>
        <n v="771.02"/>
        <n v="661.09"/>
        <n v="688.83"/>
        <n v="1249.1"/>
        <n v="1014.22"/>
        <n v="1010.58"/>
        <n v="957.29"/>
        <n v="1077.92"/>
        <n v="1163.01"/>
        <n v="1014.56"/>
        <n v="718.04"/>
        <n v="1277.85"/>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4"/>
        <n v="1622.62"/>
        <n v="640.64"/>
        <n v="585.16"/>
        <n v="1109.98"/>
        <n v="1098.08"/>
        <n v="827.25"/>
        <n v="741.88"/>
        <n v="1311.26"/>
        <n v="573.32"/>
        <n v="1115.22"/>
        <n v="845.84"/>
        <n v="1029.8"/>
        <n v="1189.83"/>
        <n v="704.28"/>
        <n v="1618.22"/>
        <n v="1014.43"/>
        <n v="826.97"/>
        <n v="1022.23"/>
        <n v="1099.69"/>
        <n v="710.52"/>
        <n v="499.18"/>
        <n v="1064.19"/>
        <n v="438.76"/>
        <n v="864.98"/>
        <n v="984.93"/>
        <n v="1493.49"/>
        <n v="689.43"/>
        <n v="682.24"/>
        <n v="458.54"/>
        <n v="1184.25"/>
        <n v="762.14"/>
        <n v="750.71"/>
        <n v="1456.94"/>
        <n v="1093.38"/>
        <n v="934.27"/>
        <n v="1465.35"/>
        <n v="740.8"/>
        <n v="545.44"/>
        <n v="997.61"/>
        <n v="928.32"/>
      </sharedItems>
    </cacheField>
    <cacheField name="Quantity" numFmtId="0"/>
    <cacheField name="Discount" numFmtId="0"/>
    <cacheField name="Order_Date" numFmtId="181">
      <sharedItems containsSemiMixedTypes="0" containsString="0" containsNonDate="0" containsDate="1" minDate="2024-04-10T00:00:00" maxDate="2025-04-07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Profit" numFmtId="0">
      <sharedItems containsSemiMixedTypes="0" containsString="0" containsNumber="1" minValue="64.63" maxValue="769.46" count="200">
        <n v="331.55"/>
        <n v="440.51"/>
        <n v="285.34"/>
        <n v="161.7"/>
        <n v="271.04"/>
        <n v="304.18"/>
        <n v="312.91"/>
        <n v="300.85"/>
        <n v="190.59"/>
        <n v="350.22"/>
        <n v="672.38"/>
        <n v="456.66"/>
        <n v="452.8"/>
        <n v="273.41"/>
        <n v="155.2"/>
        <n v="300.59"/>
        <n v="298.38"/>
        <n v="203.74"/>
        <n v="481.96"/>
        <n v="161.26"/>
        <n v="476.65"/>
        <n v="82.57"/>
        <n v="297.27"/>
        <n v="176.59"/>
        <n v="374.75"/>
        <n v="293.28"/>
        <n v="236.44"/>
        <n v="356.85"/>
        <n v="398.25"/>
        <n v="160.24"/>
        <n v="326.41"/>
        <n v="388.82"/>
        <n v="253.98"/>
        <n v="217.78"/>
        <n v="513.38"/>
        <n v="151.16"/>
        <n v="359.49"/>
        <n v="468.84"/>
        <n v="229.99"/>
        <n v="197.35"/>
        <n v="414.44"/>
        <n v="369.35"/>
        <n v="212.83"/>
        <n v="302.71"/>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
        <n v="367.59"/>
        <n v="769.46"/>
        <n v="327.92"/>
        <n v="553.3"/>
        <n v="352.86"/>
        <n v="313.91"/>
        <n v="355.1"/>
        <n v="192.76"/>
        <n v="264.44"/>
        <n v="172.21"/>
        <n v="474.66"/>
        <n v="433.58"/>
        <n v="343.6"/>
        <n v="318.3"/>
        <n v="358.41"/>
        <n v="581.5"/>
        <n v="410.9"/>
        <n v="179.51"/>
        <n v="511.14"/>
        <n v="150.18"/>
        <n v="352.65"/>
        <n v="472.62"/>
        <n v="195.33"/>
        <n v="64.63"/>
        <n v="461.12"/>
        <n v="437.11"/>
        <n v="268.97"/>
        <n v="265.26"/>
        <n v="178.91"/>
        <n v="356.5"/>
        <n v="229.65"/>
        <n v="121.54"/>
        <n v="268"/>
        <n v="426.16"/>
        <n v="316.32"/>
        <n v="492.5"/>
        <n v="232.33"/>
        <n v="165.97"/>
        <n v="675.5"/>
        <n v="134.66"/>
        <n v="487.36"/>
        <n v="314.74"/>
        <n v="111.39"/>
        <n v="318.47"/>
        <n v="301.75"/>
        <n v="413.36"/>
        <n v="286.68"/>
        <n v="556.31"/>
        <n v="332.19"/>
        <n v="336.24"/>
        <n v="180.39"/>
        <n v="484.35"/>
        <n v="562.82"/>
        <n v="447.34"/>
        <n v="649.05"/>
        <n v="205"/>
        <n v="263.32"/>
        <n v="443.99"/>
        <n v="395.31"/>
        <n v="335.04"/>
        <n v="333.85"/>
        <n v="531.06"/>
        <n v="232.19"/>
        <n v="223.04"/>
        <n v="422.92"/>
        <n v="257.45"/>
        <n v="380.75"/>
        <n v="225.37"/>
        <n v="582.56"/>
        <n v="344.91"/>
        <n v="330.79"/>
        <n v="460"/>
        <n v="439.88"/>
        <n v="255.79"/>
        <n v="159.74"/>
        <n v="404.39"/>
        <n v="187.57"/>
        <n v="410.87"/>
        <n v="275.78"/>
        <n v="746.74"/>
        <n v="310.24"/>
        <n v="341.12"/>
        <n v="91.71"/>
        <n v="331.59"/>
        <n v="381.07"/>
        <n v="255.24"/>
        <n v="692.05"/>
        <n v="344.41"/>
        <n v="397.06"/>
        <n v="586.14"/>
        <n v="333.36"/>
        <n v="245.45"/>
        <n v="379.09"/>
        <n v="440.95"/>
      </sharedItems>
    </cacheField>
    <cacheField name="Months (Order_Date)" numFmtId="0" databaseField="0">
      <fieldGroup base="7">
        <rangePr groupBy="months" startDate="2024-04-10T00:00:00" endDate="2025-04-08T00:00:00" groupInterval="1"/>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nterval="1"/>
        <groupItems count="6">
          <s v="&lt;10-04-2024"/>
          <s v="Qtr1"/>
          <s v="Qtr2"/>
          <s v="Qtr3"/>
          <s v="Qtr4"/>
          <s v="&gt;08-04-2025"/>
        </groupItems>
      </fieldGroup>
    </cacheField>
    <cacheField name="Years (Order_Date)" numFmtId="0" databaseField="0">
      <fieldGroup base="7">
        <rangePr groupBy="years" startDate="2024-04-10T00:00:00" endDate="2025-04-08T00:00:00" groupInterval="1"/>
        <groupItems count="4">
          <s v="&lt;10-04-2024"/>
          <s v="2024"/>
          <s v="2025"/>
          <s v="&gt;08-04-2025"/>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200">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r>
</pivotCacheRecords>
</file>

<file path=xl/pivotCache/pivotCacheRecords2.xml><?xml version="1.0" encoding="utf-8"?>
<pivotCacheRecords xmlns="http://schemas.openxmlformats.org/spreadsheetml/2006/main" xmlns:r="http://schemas.openxmlformats.org/officeDocument/2006/relationships" count="200">
  <r>
    <s v="CUST019"/>
    <x v="0"/>
    <x v="0"/>
    <x v="0"/>
    <x v="0"/>
    <n v="4"/>
    <n v="0.2"/>
    <x v="0"/>
    <x v="0"/>
  </r>
  <r>
    <s v="CUST012"/>
    <x v="1"/>
    <x v="0"/>
    <x v="1"/>
    <x v="1"/>
    <n v="3"/>
    <n v="0.2"/>
    <x v="1"/>
    <x v="1"/>
  </r>
  <r>
    <s v="CUST017"/>
    <x v="2"/>
    <x v="1"/>
    <x v="0"/>
    <x v="2"/>
    <n v="17"/>
    <n v="0"/>
    <x v="2"/>
    <x v="2"/>
  </r>
  <r>
    <s v="CUST005"/>
    <x v="1"/>
    <x v="2"/>
    <x v="2"/>
    <x v="3"/>
    <n v="4"/>
    <n v="0.15"/>
    <x v="2"/>
    <x v="3"/>
  </r>
  <r>
    <s v="CUST030"/>
    <x v="3"/>
    <x v="3"/>
    <x v="0"/>
    <x v="4"/>
    <n v="12"/>
    <n v="0.2"/>
    <x v="3"/>
    <x v="4"/>
  </r>
  <r>
    <s v="CUST007"/>
    <x v="4"/>
    <x v="3"/>
    <x v="3"/>
    <x v="5"/>
    <n v="8"/>
    <n v="0.1"/>
    <x v="4"/>
    <x v="5"/>
  </r>
  <r>
    <s v="CUST001"/>
    <x v="5"/>
    <x v="0"/>
    <x v="2"/>
    <x v="6"/>
    <n v="12"/>
    <n v="0.05"/>
    <x v="4"/>
    <x v="6"/>
  </r>
  <r>
    <s v="CUST026"/>
    <x v="6"/>
    <x v="1"/>
    <x v="3"/>
    <x v="7"/>
    <n v="6"/>
    <n v="0.2"/>
    <x v="5"/>
    <x v="7"/>
  </r>
  <r>
    <s v="CUST009"/>
    <x v="7"/>
    <x v="4"/>
    <x v="0"/>
    <x v="8"/>
    <n v="11"/>
    <n v="0.05"/>
    <x v="5"/>
    <x v="8"/>
  </r>
  <r>
    <s v="CUST010"/>
    <x v="8"/>
    <x v="4"/>
    <x v="1"/>
    <x v="9"/>
    <n v="2"/>
    <n v="0.05"/>
    <x v="5"/>
    <x v="9"/>
  </r>
  <r>
    <s v="CUST014"/>
    <x v="9"/>
    <x v="0"/>
    <x v="4"/>
    <x v="10"/>
    <n v="6"/>
    <n v="0.05"/>
    <x v="6"/>
    <x v="10"/>
  </r>
  <r>
    <s v="CUST014"/>
    <x v="8"/>
    <x v="4"/>
    <x v="0"/>
    <x v="11"/>
    <n v="14"/>
    <n v="0.15"/>
    <x v="7"/>
    <x v="11"/>
  </r>
  <r>
    <s v="CUST007"/>
    <x v="4"/>
    <x v="4"/>
    <x v="0"/>
    <x v="12"/>
    <n v="14"/>
    <n v="0.05"/>
    <x v="8"/>
    <x v="12"/>
  </r>
  <r>
    <s v="CUST023"/>
    <x v="1"/>
    <x v="0"/>
    <x v="3"/>
    <x v="13"/>
    <n v="7"/>
    <n v="0.05"/>
    <x v="8"/>
    <x v="13"/>
  </r>
  <r>
    <s v="CUST029"/>
    <x v="10"/>
    <x v="3"/>
    <x v="3"/>
    <x v="14"/>
    <n v="15"/>
    <n v="0.15"/>
    <x v="9"/>
    <x v="14"/>
  </r>
  <r>
    <s v="CUST005"/>
    <x v="11"/>
    <x v="2"/>
    <x v="2"/>
    <x v="15"/>
    <n v="14"/>
    <n v="0.2"/>
    <x v="10"/>
    <x v="15"/>
  </r>
  <r>
    <s v="CUST008"/>
    <x v="1"/>
    <x v="2"/>
    <x v="0"/>
    <x v="16"/>
    <n v="10"/>
    <n v="0.15"/>
    <x v="11"/>
    <x v="16"/>
  </r>
  <r>
    <s v="CUST001"/>
    <x v="12"/>
    <x v="0"/>
    <x v="0"/>
    <x v="17"/>
    <n v="4"/>
    <n v="0.2"/>
    <x v="11"/>
    <x v="17"/>
  </r>
  <r>
    <s v="CUST006"/>
    <x v="13"/>
    <x v="0"/>
    <x v="0"/>
    <x v="18"/>
    <n v="13"/>
    <n v="0.2"/>
    <x v="12"/>
    <x v="18"/>
  </r>
  <r>
    <s v="CUST026"/>
    <x v="6"/>
    <x v="4"/>
    <x v="2"/>
    <x v="19"/>
    <n v="4"/>
    <n v="0"/>
    <x v="13"/>
    <x v="19"/>
  </r>
  <r>
    <s v="CUST007"/>
    <x v="14"/>
    <x v="2"/>
    <x v="1"/>
    <x v="20"/>
    <n v="11"/>
    <n v="0"/>
    <x v="14"/>
    <x v="20"/>
  </r>
  <r>
    <s v="CUST022"/>
    <x v="1"/>
    <x v="3"/>
    <x v="2"/>
    <x v="21"/>
    <n v="14"/>
    <n v="0.15"/>
    <x v="15"/>
    <x v="21"/>
  </r>
  <r>
    <s v="CUST019"/>
    <x v="6"/>
    <x v="0"/>
    <x v="0"/>
    <x v="22"/>
    <n v="9"/>
    <n v="0"/>
    <x v="15"/>
    <x v="22"/>
  </r>
  <r>
    <s v="CUST023"/>
    <x v="6"/>
    <x v="4"/>
    <x v="2"/>
    <x v="23"/>
    <n v="6"/>
    <n v="0"/>
    <x v="15"/>
    <x v="23"/>
  </r>
  <r>
    <s v="CUST012"/>
    <x v="6"/>
    <x v="4"/>
    <x v="4"/>
    <x v="24"/>
    <n v="8"/>
    <n v="0.1"/>
    <x v="16"/>
    <x v="24"/>
  </r>
  <r>
    <s v="CUST010"/>
    <x v="15"/>
    <x v="2"/>
    <x v="2"/>
    <x v="25"/>
    <n v="18"/>
    <n v="0"/>
    <x v="16"/>
    <x v="25"/>
  </r>
  <r>
    <s v="CUST030"/>
    <x v="16"/>
    <x v="3"/>
    <x v="3"/>
    <x v="26"/>
    <n v="17"/>
    <n v="0"/>
    <x v="17"/>
    <x v="26"/>
  </r>
  <r>
    <s v="CUST007"/>
    <x v="1"/>
    <x v="4"/>
    <x v="0"/>
    <x v="27"/>
    <n v="2"/>
    <n v="0.05"/>
    <x v="18"/>
    <x v="27"/>
  </r>
  <r>
    <s v="CUST028"/>
    <x v="17"/>
    <x v="1"/>
    <x v="4"/>
    <x v="28"/>
    <n v="19"/>
    <n v="0.1"/>
    <x v="19"/>
    <x v="28"/>
  </r>
  <r>
    <s v="CUST028"/>
    <x v="3"/>
    <x v="2"/>
    <x v="2"/>
    <x v="29"/>
    <n v="3"/>
    <n v="0.2"/>
    <x v="19"/>
    <x v="29"/>
  </r>
  <r>
    <s v="CUST025"/>
    <x v="18"/>
    <x v="3"/>
    <x v="2"/>
    <x v="30"/>
    <n v="5"/>
    <n v="0.1"/>
    <x v="20"/>
    <x v="30"/>
  </r>
  <r>
    <s v="CUST022"/>
    <x v="19"/>
    <x v="4"/>
    <x v="0"/>
    <x v="31"/>
    <n v="18"/>
    <n v="0.05"/>
    <x v="21"/>
    <x v="31"/>
  </r>
  <r>
    <s v="CUST001"/>
    <x v="13"/>
    <x v="0"/>
    <x v="3"/>
    <x v="32"/>
    <n v="5"/>
    <n v="0.15"/>
    <x v="21"/>
    <x v="32"/>
  </r>
  <r>
    <s v="CUST021"/>
    <x v="11"/>
    <x v="2"/>
    <x v="2"/>
    <x v="33"/>
    <n v="10"/>
    <n v="0.1"/>
    <x v="22"/>
    <x v="33"/>
  </r>
  <r>
    <s v="CUST015"/>
    <x v="17"/>
    <x v="3"/>
    <x v="4"/>
    <x v="34"/>
    <n v="14"/>
    <n v="0.05"/>
    <x v="22"/>
    <x v="34"/>
  </r>
  <r>
    <s v="CUST012"/>
    <x v="4"/>
    <x v="0"/>
    <x v="0"/>
    <x v="35"/>
    <n v="12"/>
    <n v="0.2"/>
    <x v="22"/>
    <x v="35"/>
  </r>
  <r>
    <s v="CUST019"/>
    <x v="18"/>
    <x v="1"/>
    <x v="4"/>
    <x v="36"/>
    <n v="9"/>
    <n v="0.05"/>
    <x v="22"/>
    <x v="36"/>
  </r>
  <r>
    <s v="CUST028"/>
    <x v="14"/>
    <x v="4"/>
    <x v="3"/>
    <x v="37"/>
    <n v="11"/>
    <n v="0.05"/>
    <x v="23"/>
    <x v="37"/>
  </r>
  <r>
    <s v="CUST008"/>
    <x v="20"/>
    <x v="4"/>
    <x v="3"/>
    <x v="38"/>
    <n v="13"/>
    <n v="0.15"/>
    <x v="23"/>
    <x v="38"/>
  </r>
  <r>
    <s v="CUST016"/>
    <x v="21"/>
    <x v="1"/>
    <x v="0"/>
    <x v="39"/>
    <n v="19"/>
    <n v="0.15"/>
    <x v="24"/>
    <x v="39"/>
  </r>
  <r>
    <s v="CUST005"/>
    <x v="10"/>
    <x v="2"/>
    <x v="0"/>
    <x v="40"/>
    <n v="15"/>
    <n v="0.1"/>
    <x v="25"/>
    <x v="40"/>
  </r>
  <r>
    <s v="CUST028"/>
    <x v="3"/>
    <x v="4"/>
    <x v="4"/>
    <x v="41"/>
    <n v="5"/>
    <n v="0.2"/>
    <x v="26"/>
    <x v="41"/>
  </r>
  <r>
    <s v="CUST023"/>
    <x v="19"/>
    <x v="1"/>
    <x v="4"/>
    <x v="42"/>
    <n v="11"/>
    <n v="0.15"/>
    <x v="26"/>
    <x v="42"/>
  </r>
  <r>
    <s v="CUST021"/>
    <x v="3"/>
    <x v="4"/>
    <x v="0"/>
    <x v="43"/>
    <n v="19"/>
    <n v="0.1"/>
    <x v="27"/>
    <x v="43"/>
  </r>
  <r>
    <s v="CUST026"/>
    <x v="21"/>
    <x v="3"/>
    <x v="3"/>
    <x v="44"/>
    <n v="12"/>
    <n v="0.15"/>
    <x v="27"/>
    <x v="44"/>
  </r>
  <r>
    <s v="CUST017"/>
    <x v="22"/>
    <x v="4"/>
    <x v="2"/>
    <x v="45"/>
    <n v="2"/>
    <n v="0"/>
    <x v="28"/>
    <x v="45"/>
  </r>
  <r>
    <s v="CUST025"/>
    <x v="19"/>
    <x v="4"/>
    <x v="4"/>
    <x v="46"/>
    <n v="8"/>
    <n v="0.15"/>
    <x v="28"/>
    <x v="46"/>
  </r>
  <r>
    <s v="CUST011"/>
    <x v="6"/>
    <x v="3"/>
    <x v="4"/>
    <x v="47"/>
    <n v="12"/>
    <n v="0"/>
    <x v="29"/>
    <x v="47"/>
  </r>
  <r>
    <s v="CUST021"/>
    <x v="4"/>
    <x v="1"/>
    <x v="3"/>
    <x v="48"/>
    <n v="19"/>
    <n v="0.2"/>
    <x v="30"/>
    <x v="48"/>
  </r>
  <r>
    <s v="CUST008"/>
    <x v="16"/>
    <x v="2"/>
    <x v="2"/>
    <x v="49"/>
    <n v="6"/>
    <n v="0.1"/>
    <x v="31"/>
    <x v="49"/>
  </r>
  <r>
    <s v="CUST007"/>
    <x v="7"/>
    <x v="2"/>
    <x v="2"/>
    <x v="50"/>
    <n v="6"/>
    <n v="0.05"/>
    <x v="32"/>
    <x v="50"/>
  </r>
  <r>
    <s v="CUST015"/>
    <x v="3"/>
    <x v="2"/>
    <x v="1"/>
    <x v="51"/>
    <n v="7"/>
    <n v="0.1"/>
    <x v="33"/>
    <x v="51"/>
  </r>
  <r>
    <s v="CUST030"/>
    <x v="23"/>
    <x v="2"/>
    <x v="3"/>
    <x v="52"/>
    <n v="2"/>
    <n v="0"/>
    <x v="34"/>
    <x v="52"/>
  </r>
  <r>
    <s v="CUST002"/>
    <x v="14"/>
    <x v="0"/>
    <x v="0"/>
    <x v="53"/>
    <n v="18"/>
    <n v="0.1"/>
    <x v="35"/>
    <x v="53"/>
  </r>
  <r>
    <s v="CUST009"/>
    <x v="9"/>
    <x v="3"/>
    <x v="2"/>
    <x v="54"/>
    <n v="15"/>
    <n v="0.15"/>
    <x v="36"/>
    <x v="54"/>
  </r>
  <r>
    <s v="CUST005"/>
    <x v="1"/>
    <x v="2"/>
    <x v="3"/>
    <x v="55"/>
    <n v="10"/>
    <n v="0.2"/>
    <x v="36"/>
    <x v="55"/>
  </r>
  <r>
    <s v="CUST030"/>
    <x v="24"/>
    <x v="4"/>
    <x v="0"/>
    <x v="56"/>
    <n v="11"/>
    <n v="0"/>
    <x v="37"/>
    <x v="56"/>
  </r>
  <r>
    <s v="CUST029"/>
    <x v="23"/>
    <x v="3"/>
    <x v="2"/>
    <x v="57"/>
    <n v="1"/>
    <n v="0.2"/>
    <x v="38"/>
    <x v="57"/>
  </r>
  <r>
    <s v="CUST003"/>
    <x v="9"/>
    <x v="3"/>
    <x v="0"/>
    <x v="58"/>
    <n v="2"/>
    <n v="0.1"/>
    <x v="39"/>
    <x v="58"/>
  </r>
  <r>
    <s v="CUST012"/>
    <x v="20"/>
    <x v="0"/>
    <x v="1"/>
    <x v="59"/>
    <n v="17"/>
    <n v="0"/>
    <x v="39"/>
    <x v="59"/>
  </r>
  <r>
    <s v="CUST021"/>
    <x v="6"/>
    <x v="1"/>
    <x v="0"/>
    <x v="60"/>
    <n v="8"/>
    <n v="0.1"/>
    <x v="40"/>
    <x v="60"/>
  </r>
  <r>
    <s v="CUST010"/>
    <x v="18"/>
    <x v="4"/>
    <x v="4"/>
    <x v="61"/>
    <n v="9"/>
    <n v="0"/>
    <x v="41"/>
    <x v="61"/>
  </r>
  <r>
    <s v="CUST026"/>
    <x v="6"/>
    <x v="1"/>
    <x v="3"/>
    <x v="62"/>
    <n v="17"/>
    <n v="0.1"/>
    <x v="42"/>
    <x v="62"/>
  </r>
  <r>
    <s v="CUST003"/>
    <x v="0"/>
    <x v="0"/>
    <x v="2"/>
    <x v="63"/>
    <n v="17"/>
    <n v="0.2"/>
    <x v="42"/>
    <x v="63"/>
  </r>
  <r>
    <s v="CUST029"/>
    <x v="21"/>
    <x v="2"/>
    <x v="2"/>
    <x v="64"/>
    <n v="5"/>
    <n v="0.05"/>
    <x v="43"/>
    <x v="64"/>
  </r>
  <r>
    <s v="CUST003"/>
    <x v="3"/>
    <x v="3"/>
    <x v="3"/>
    <x v="65"/>
    <n v="15"/>
    <n v="0.15"/>
    <x v="44"/>
    <x v="65"/>
  </r>
  <r>
    <s v="CUST002"/>
    <x v="6"/>
    <x v="2"/>
    <x v="0"/>
    <x v="66"/>
    <n v="12"/>
    <n v="0.05"/>
    <x v="45"/>
    <x v="66"/>
  </r>
  <r>
    <s v="CUST020"/>
    <x v="18"/>
    <x v="0"/>
    <x v="3"/>
    <x v="67"/>
    <n v="5"/>
    <n v="0.05"/>
    <x v="45"/>
    <x v="67"/>
  </r>
  <r>
    <s v="CUST021"/>
    <x v="13"/>
    <x v="3"/>
    <x v="2"/>
    <x v="68"/>
    <n v="11"/>
    <n v="0.05"/>
    <x v="46"/>
    <x v="68"/>
  </r>
  <r>
    <s v="CUST008"/>
    <x v="0"/>
    <x v="4"/>
    <x v="4"/>
    <x v="69"/>
    <n v="1"/>
    <n v="0.05"/>
    <x v="47"/>
    <x v="69"/>
  </r>
  <r>
    <s v="CUST030"/>
    <x v="18"/>
    <x v="4"/>
    <x v="2"/>
    <x v="70"/>
    <n v="1"/>
    <n v="0.05"/>
    <x v="48"/>
    <x v="70"/>
  </r>
  <r>
    <s v="CUST020"/>
    <x v="25"/>
    <x v="2"/>
    <x v="4"/>
    <x v="71"/>
    <n v="19"/>
    <n v="0"/>
    <x v="49"/>
    <x v="71"/>
  </r>
  <r>
    <s v="CUST024"/>
    <x v="18"/>
    <x v="1"/>
    <x v="2"/>
    <x v="72"/>
    <n v="10"/>
    <n v="0.15"/>
    <x v="50"/>
    <x v="72"/>
  </r>
  <r>
    <s v="CUST012"/>
    <x v="26"/>
    <x v="2"/>
    <x v="0"/>
    <x v="73"/>
    <n v="5"/>
    <n v="0.2"/>
    <x v="50"/>
    <x v="73"/>
  </r>
  <r>
    <s v="CUST024"/>
    <x v="9"/>
    <x v="0"/>
    <x v="2"/>
    <x v="74"/>
    <n v="13"/>
    <n v="0.2"/>
    <x v="51"/>
    <x v="74"/>
  </r>
  <r>
    <s v="CUST012"/>
    <x v="5"/>
    <x v="0"/>
    <x v="2"/>
    <x v="75"/>
    <n v="5"/>
    <n v="0.15"/>
    <x v="52"/>
    <x v="75"/>
  </r>
  <r>
    <s v="CUST005"/>
    <x v="17"/>
    <x v="4"/>
    <x v="3"/>
    <x v="76"/>
    <n v="3"/>
    <n v="0"/>
    <x v="53"/>
    <x v="76"/>
  </r>
  <r>
    <s v="CUST004"/>
    <x v="12"/>
    <x v="3"/>
    <x v="3"/>
    <x v="77"/>
    <n v="7"/>
    <n v="0.05"/>
    <x v="54"/>
    <x v="77"/>
  </r>
  <r>
    <s v="CUST026"/>
    <x v="5"/>
    <x v="0"/>
    <x v="4"/>
    <x v="78"/>
    <n v="1"/>
    <n v="0"/>
    <x v="55"/>
    <x v="78"/>
  </r>
  <r>
    <s v="CUST030"/>
    <x v="6"/>
    <x v="1"/>
    <x v="1"/>
    <x v="79"/>
    <n v="18"/>
    <n v="0.1"/>
    <x v="56"/>
    <x v="79"/>
  </r>
  <r>
    <s v="CUST007"/>
    <x v="18"/>
    <x v="3"/>
    <x v="0"/>
    <x v="80"/>
    <n v="19"/>
    <n v="0"/>
    <x v="57"/>
    <x v="80"/>
  </r>
  <r>
    <s v="CUST020"/>
    <x v="7"/>
    <x v="1"/>
    <x v="3"/>
    <x v="81"/>
    <n v="17"/>
    <n v="0"/>
    <x v="57"/>
    <x v="81"/>
  </r>
  <r>
    <s v="CUST028"/>
    <x v="15"/>
    <x v="4"/>
    <x v="2"/>
    <x v="82"/>
    <n v="7"/>
    <n v="0.1"/>
    <x v="58"/>
    <x v="82"/>
  </r>
  <r>
    <s v="CUST005"/>
    <x v="14"/>
    <x v="4"/>
    <x v="0"/>
    <x v="83"/>
    <n v="7"/>
    <n v="0.05"/>
    <x v="58"/>
    <x v="83"/>
  </r>
  <r>
    <s v="CUST015"/>
    <x v="8"/>
    <x v="0"/>
    <x v="1"/>
    <x v="84"/>
    <n v="4"/>
    <n v="0.1"/>
    <x v="59"/>
    <x v="84"/>
  </r>
  <r>
    <s v="CUST003"/>
    <x v="0"/>
    <x v="2"/>
    <x v="2"/>
    <x v="85"/>
    <n v="17"/>
    <n v="0"/>
    <x v="59"/>
    <x v="85"/>
  </r>
  <r>
    <s v="CUST023"/>
    <x v="18"/>
    <x v="1"/>
    <x v="3"/>
    <x v="86"/>
    <n v="9"/>
    <n v="0"/>
    <x v="60"/>
    <x v="86"/>
  </r>
  <r>
    <s v="CUST004"/>
    <x v="23"/>
    <x v="0"/>
    <x v="4"/>
    <x v="87"/>
    <n v="19"/>
    <n v="0"/>
    <x v="61"/>
    <x v="87"/>
  </r>
  <r>
    <s v="CUST023"/>
    <x v="3"/>
    <x v="1"/>
    <x v="4"/>
    <x v="88"/>
    <n v="11"/>
    <n v="0.15"/>
    <x v="62"/>
    <x v="88"/>
  </r>
  <r>
    <s v="CUST022"/>
    <x v="15"/>
    <x v="2"/>
    <x v="0"/>
    <x v="89"/>
    <n v="16"/>
    <n v="0.05"/>
    <x v="62"/>
    <x v="89"/>
  </r>
  <r>
    <s v="CUST007"/>
    <x v="24"/>
    <x v="0"/>
    <x v="3"/>
    <x v="90"/>
    <n v="4"/>
    <n v="0.1"/>
    <x v="63"/>
    <x v="90"/>
  </r>
  <r>
    <s v="CUST013"/>
    <x v="1"/>
    <x v="2"/>
    <x v="3"/>
    <x v="91"/>
    <n v="1"/>
    <n v="0.1"/>
    <x v="64"/>
    <x v="91"/>
  </r>
  <r>
    <s v="CUST027"/>
    <x v="9"/>
    <x v="1"/>
    <x v="4"/>
    <x v="92"/>
    <n v="13"/>
    <n v="0.15"/>
    <x v="64"/>
    <x v="92"/>
  </r>
  <r>
    <s v="CUST003"/>
    <x v="3"/>
    <x v="0"/>
    <x v="2"/>
    <x v="93"/>
    <n v="19"/>
    <n v="0.2"/>
    <x v="65"/>
    <x v="93"/>
  </r>
  <r>
    <s v="CUST018"/>
    <x v="13"/>
    <x v="2"/>
    <x v="0"/>
    <x v="94"/>
    <n v="2"/>
    <n v="0.15"/>
    <x v="66"/>
    <x v="94"/>
  </r>
  <r>
    <s v="CUST020"/>
    <x v="2"/>
    <x v="2"/>
    <x v="0"/>
    <x v="95"/>
    <n v="6"/>
    <n v="0"/>
    <x v="67"/>
    <x v="95"/>
  </r>
  <r>
    <s v="CUST029"/>
    <x v="21"/>
    <x v="0"/>
    <x v="3"/>
    <x v="96"/>
    <n v="7"/>
    <n v="0.15"/>
    <x v="68"/>
    <x v="96"/>
  </r>
  <r>
    <s v="CUST021"/>
    <x v="3"/>
    <x v="3"/>
    <x v="1"/>
    <x v="97"/>
    <n v="11"/>
    <n v="0.1"/>
    <x v="68"/>
    <x v="97"/>
  </r>
  <r>
    <s v="CUST017"/>
    <x v="23"/>
    <x v="0"/>
    <x v="4"/>
    <x v="98"/>
    <n v="10"/>
    <n v="0.2"/>
    <x v="69"/>
    <x v="98"/>
  </r>
  <r>
    <s v="CUST003"/>
    <x v="3"/>
    <x v="4"/>
    <x v="1"/>
    <x v="99"/>
    <n v="12"/>
    <n v="0"/>
    <x v="69"/>
    <x v="99"/>
  </r>
  <r>
    <s v="CUST027"/>
    <x v="9"/>
    <x v="3"/>
    <x v="0"/>
    <x v="100"/>
    <n v="17"/>
    <n v="0.1"/>
    <x v="70"/>
    <x v="100"/>
  </r>
  <r>
    <s v="CUST016"/>
    <x v="4"/>
    <x v="3"/>
    <x v="1"/>
    <x v="101"/>
    <n v="8"/>
    <n v="0.1"/>
    <x v="70"/>
    <x v="101"/>
  </r>
  <r>
    <s v="CUST008"/>
    <x v="19"/>
    <x v="4"/>
    <x v="2"/>
    <x v="102"/>
    <n v="13"/>
    <n v="0.2"/>
    <x v="71"/>
    <x v="102"/>
  </r>
  <r>
    <s v="CUST012"/>
    <x v="14"/>
    <x v="3"/>
    <x v="2"/>
    <x v="103"/>
    <n v="17"/>
    <n v="0"/>
    <x v="72"/>
    <x v="103"/>
  </r>
  <r>
    <s v="CUST025"/>
    <x v="13"/>
    <x v="1"/>
    <x v="3"/>
    <x v="104"/>
    <n v="8"/>
    <n v="0"/>
    <x v="73"/>
    <x v="104"/>
  </r>
  <r>
    <s v="CUST014"/>
    <x v="23"/>
    <x v="2"/>
    <x v="0"/>
    <x v="105"/>
    <n v="8"/>
    <n v="0.2"/>
    <x v="74"/>
    <x v="105"/>
  </r>
  <r>
    <s v="CUST008"/>
    <x v="3"/>
    <x v="1"/>
    <x v="0"/>
    <x v="106"/>
    <n v="19"/>
    <n v="0.15"/>
    <x v="74"/>
    <x v="106"/>
  </r>
  <r>
    <s v="CUST015"/>
    <x v="3"/>
    <x v="0"/>
    <x v="1"/>
    <x v="107"/>
    <n v="9"/>
    <n v="0.2"/>
    <x v="75"/>
    <x v="107"/>
  </r>
  <r>
    <s v="CUST025"/>
    <x v="24"/>
    <x v="4"/>
    <x v="1"/>
    <x v="108"/>
    <n v="14"/>
    <n v="0.1"/>
    <x v="76"/>
    <x v="108"/>
  </r>
  <r>
    <s v="CUST019"/>
    <x v="7"/>
    <x v="4"/>
    <x v="1"/>
    <x v="109"/>
    <n v="7"/>
    <n v="0.15"/>
    <x v="76"/>
    <x v="109"/>
  </r>
  <r>
    <s v="CUST024"/>
    <x v="24"/>
    <x v="1"/>
    <x v="0"/>
    <x v="110"/>
    <n v="16"/>
    <n v="0.1"/>
    <x v="77"/>
    <x v="110"/>
  </r>
  <r>
    <s v="CUST027"/>
    <x v="3"/>
    <x v="0"/>
    <x v="1"/>
    <x v="111"/>
    <n v="17"/>
    <n v="0.1"/>
    <x v="78"/>
    <x v="111"/>
  </r>
  <r>
    <s v="CUST006"/>
    <x v="26"/>
    <x v="0"/>
    <x v="3"/>
    <x v="112"/>
    <n v="1"/>
    <n v="0.15"/>
    <x v="78"/>
    <x v="112"/>
  </r>
  <r>
    <s v="CUST009"/>
    <x v="9"/>
    <x v="2"/>
    <x v="2"/>
    <x v="113"/>
    <n v="1"/>
    <n v="0"/>
    <x v="79"/>
    <x v="113"/>
  </r>
  <r>
    <s v="CUST003"/>
    <x v="25"/>
    <x v="3"/>
    <x v="1"/>
    <x v="114"/>
    <n v="1"/>
    <n v="0.2"/>
    <x v="80"/>
    <x v="114"/>
  </r>
  <r>
    <s v="CUST012"/>
    <x v="18"/>
    <x v="0"/>
    <x v="2"/>
    <x v="115"/>
    <n v="15"/>
    <n v="0"/>
    <x v="81"/>
    <x v="115"/>
  </r>
  <r>
    <s v="CUST013"/>
    <x v="5"/>
    <x v="4"/>
    <x v="0"/>
    <x v="116"/>
    <n v="4"/>
    <n v="0.05"/>
    <x v="82"/>
    <x v="116"/>
  </r>
  <r>
    <s v="CUST008"/>
    <x v="3"/>
    <x v="1"/>
    <x v="4"/>
    <x v="117"/>
    <n v="14"/>
    <n v="0.05"/>
    <x v="83"/>
    <x v="117"/>
  </r>
  <r>
    <s v="CUST025"/>
    <x v="14"/>
    <x v="1"/>
    <x v="0"/>
    <x v="118"/>
    <n v="2"/>
    <n v="0.15"/>
    <x v="84"/>
    <x v="118"/>
  </r>
  <r>
    <s v="CUST026"/>
    <x v="20"/>
    <x v="3"/>
    <x v="3"/>
    <x v="119"/>
    <n v="4"/>
    <n v="0.05"/>
    <x v="84"/>
    <x v="119"/>
  </r>
  <r>
    <s v="CUST001"/>
    <x v="12"/>
    <x v="3"/>
    <x v="3"/>
    <x v="120"/>
    <n v="3"/>
    <n v="0.05"/>
    <x v="85"/>
    <x v="120"/>
  </r>
  <r>
    <s v="CUST028"/>
    <x v="15"/>
    <x v="2"/>
    <x v="1"/>
    <x v="121"/>
    <n v="5"/>
    <n v="0"/>
    <x v="86"/>
    <x v="121"/>
  </r>
  <r>
    <s v="CUST025"/>
    <x v="12"/>
    <x v="1"/>
    <x v="4"/>
    <x v="122"/>
    <n v="10"/>
    <n v="0.1"/>
    <x v="87"/>
    <x v="122"/>
  </r>
  <r>
    <s v="CUST019"/>
    <x v="2"/>
    <x v="2"/>
    <x v="2"/>
    <x v="123"/>
    <n v="14"/>
    <n v="0"/>
    <x v="88"/>
    <x v="123"/>
  </r>
  <r>
    <s v="CUST004"/>
    <x v="2"/>
    <x v="4"/>
    <x v="1"/>
    <x v="124"/>
    <n v="18"/>
    <n v="0.2"/>
    <x v="88"/>
    <x v="124"/>
  </r>
  <r>
    <s v="CUST024"/>
    <x v="3"/>
    <x v="3"/>
    <x v="2"/>
    <x v="125"/>
    <n v="1"/>
    <n v="0.15"/>
    <x v="88"/>
    <x v="125"/>
  </r>
  <r>
    <s v="CUST002"/>
    <x v="15"/>
    <x v="1"/>
    <x v="2"/>
    <x v="126"/>
    <n v="15"/>
    <n v="0"/>
    <x v="89"/>
    <x v="126"/>
  </r>
  <r>
    <s v="CUST009"/>
    <x v="21"/>
    <x v="2"/>
    <x v="3"/>
    <x v="127"/>
    <n v="10"/>
    <n v="0"/>
    <x v="89"/>
    <x v="127"/>
  </r>
  <r>
    <s v="CUST029"/>
    <x v="12"/>
    <x v="1"/>
    <x v="2"/>
    <x v="128"/>
    <n v="4"/>
    <n v="0.15"/>
    <x v="89"/>
    <x v="128"/>
  </r>
  <r>
    <s v="CUST027"/>
    <x v="3"/>
    <x v="0"/>
    <x v="2"/>
    <x v="129"/>
    <n v="19"/>
    <n v="0"/>
    <x v="90"/>
    <x v="129"/>
  </r>
  <r>
    <s v="CUST011"/>
    <x v="21"/>
    <x v="1"/>
    <x v="0"/>
    <x v="130"/>
    <n v="5"/>
    <n v="0.05"/>
    <x v="90"/>
    <x v="130"/>
  </r>
  <r>
    <s v="CUST021"/>
    <x v="9"/>
    <x v="4"/>
    <x v="0"/>
    <x v="131"/>
    <n v="8"/>
    <n v="0.05"/>
    <x v="91"/>
    <x v="131"/>
  </r>
  <r>
    <s v="CUST014"/>
    <x v="26"/>
    <x v="2"/>
    <x v="3"/>
    <x v="132"/>
    <n v="8"/>
    <n v="0.1"/>
    <x v="91"/>
    <x v="132"/>
  </r>
  <r>
    <s v="CUST018"/>
    <x v="12"/>
    <x v="2"/>
    <x v="2"/>
    <x v="133"/>
    <n v="1"/>
    <n v="0"/>
    <x v="92"/>
    <x v="133"/>
  </r>
  <r>
    <s v="CUST001"/>
    <x v="11"/>
    <x v="0"/>
    <x v="2"/>
    <x v="134"/>
    <n v="19"/>
    <n v="0.2"/>
    <x v="93"/>
    <x v="134"/>
  </r>
  <r>
    <s v="CUST007"/>
    <x v="9"/>
    <x v="3"/>
    <x v="4"/>
    <x v="135"/>
    <n v="3"/>
    <n v="0.05"/>
    <x v="94"/>
    <x v="135"/>
  </r>
  <r>
    <s v="CUST015"/>
    <x v="26"/>
    <x v="0"/>
    <x v="3"/>
    <x v="136"/>
    <n v="4"/>
    <n v="0.2"/>
    <x v="95"/>
    <x v="136"/>
  </r>
  <r>
    <s v="CUST015"/>
    <x v="9"/>
    <x v="4"/>
    <x v="2"/>
    <x v="137"/>
    <n v="8"/>
    <n v="0.05"/>
    <x v="96"/>
    <x v="137"/>
  </r>
  <r>
    <s v="CUST002"/>
    <x v="21"/>
    <x v="2"/>
    <x v="3"/>
    <x v="138"/>
    <n v="19"/>
    <n v="0.05"/>
    <x v="97"/>
    <x v="138"/>
  </r>
  <r>
    <s v="CUST001"/>
    <x v="4"/>
    <x v="4"/>
    <x v="3"/>
    <x v="139"/>
    <n v="16"/>
    <n v="0.15"/>
    <x v="98"/>
    <x v="139"/>
  </r>
  <r>
    <s v="CUST027"/>
    <x v="5"/>
    <x v="4"/>
    <x v="2"/>
    <x v="140"/>
    <n v="10"/>
    <n v="0.15"/>
    <x v="98"/>
    <x v="140"/>
  </r>
  <r>
    <s v="CUST026"/>
    <x v="24"/>
    <x v="1"/>
    <x v="0"/>
    <x v="141"/>
    <n v="9"/>
    <n v="0"/>
    <x v="99"/>
    <x v="141"/>
  </r>
  <r>
    <s v="CUST026"/>
    <x v="11"/>
    <x v="0"/>
    <x v="2"/>
    <x v="142"/>
    <n v="19"/>
    <n v="0.2"/>
    <x v="100"/>
    <x v="142"/>
  </r>
  <r>
    <s v="CUST022"/>
    <x v="12"/>
    <x v="4"/>
    <x v="4"/>
    <x v="143"/>
    <n v="16"/>
    <n v="0.05"/>
    <x v="101"/>
    <x v="143"/>
  </r>
  <r>
    <s v="CUST004"/>
    <x v="6"/>
    <x v="3"/>
    <x v="1"/>
    <x v="144"/>
    <n v="6"/>
    <n v="0.15"/>
    <x v="102"/>
    <x v="144"/>
  </r>
  <r>
    <s v="CUST001"/>
    <x v="26"/>
    <x v="3"/>
    <x v="1"/>
    <x v="145"/>
    <n v="13"/>
    <n v="0.2"/>
    <x v="102"/>
    <x v="145"/>
  </r>
  <r>
    <s v="CUST022"/>
    <x v="3"/>
    <x v="0"/>
    <x v="0"/>
    <x v="146"/>
    <n v="14"/>
    <n v="0.1"/>
    <x v="103"/>
    <x v="146"/>
  </r>
  <r>
    <s v="CUST011"/>
    <x v="25"/>
    <x v="4"/>
    <x v="1"/>
    <x v="147"/>
    <n v="11"/>
    <n v="0.05"/>
    <x v="104"/>
    <x v="147"/>
  </r>
  <r>
    <s v="CUST028"/>
    <x v="14"/>
    <x v="3"/>
    <x v="4"/>
    <x v="148"/>
    <n v="1"/>
    <n v="0.2"/>
    <x v="104"/>
    <x v="148"/>
  </r>
  <r>
    <s v="CUST011"/>
    <x v="5"/>
    <x v="3"/>
    <x v="0"/>
    <x v="149"/>
    <n v="18"/>
    <n v="0.1"/>
    <x v="105"/>
    <x v="149"/>
  </r>
  <r>
    <s v="CUST028"/>
    <x v="3"/>
    <x v="4"/>
    <x v="4"/>
    <x v="150"/>
    <n v="10"/>
    <n v="0.1"/>
    <x v="106"/>
    <x v="150"/>
  </r>
  <r>
    <s v="CUST016"/>
    <x v="2"/>
    <x v="2"/>
    <x v="1"/>
    <x v="151"/>
    <n v="5"/>
    <n v="0.05"/>
    <x v="106"/>
    <x v="151"/>
  </r>
  <r>
    <s v="CUST010"/>
    <x v="5"/>
    <x v="0"/>
    <x v="3"/>
    <x v="152"/>
    <n v="18"/>
    <n v="0.05"/>
    <x v="107"/>
    <x v="152"/>
  </r>
  <r>
    <s v="CUST013"/>
    <x v="20"/>
    <x v="3"/>
    <x v="1"/>
    <x v="153"/>
    <n v="19"/>
    <n v="0.05"/>
    <x v="108"/>
    <x v="153"/>
  </r>
  <r>
    <s v="CUST015"/>
    <x v="1"/>
    <x v="2"/>
    <x v="3"/>
    <x v="154"/>
    <n v="11"/>
    <n v="0.1"/>
    <x v="109"/>
    <x v="154"/>
  </r>
  <r>
    <s v="CUST015"/>
    <x v="3"/>
    <x v="3"/>
    <x v="2"/>
    <x v="155"/>
    <n v="5"/>
    <n v="0.2"/>
    <x v="110"/>
    <x v="155"/>
  </r>
  <r>
    <s v="CUST015"/>
    <x v="8"/>
    <x v="0"/>
    <x v="1"/>
    <x v="156"/>
    <n v="9"/>
    <n v="0.05"/>
    <x v="111"/>
    <x v="156"/>
  </r>
  <r>
    <s v="CUST008"/>
    <x v="12"/>
    <x v="4"/>
    <x v="1"/>
    <x v="157"/>
    <n v="2"/>
    <n v="0.1"/>
    <x v="112"/>
    <x v="157"/>
  </r>
  <r>
    <s v="CUST008"/>
    <x v="6"/>
    <x v="4"/>
    <x v="4"/>
    <x v="158"/>
    <n v="7"/>
    <n v="0"/>
    <x v="112"/>
    <x v="158"/>
  </r>
  <r>
    <s v="CUST023"/>
    <x v="2"/>
    <x v="2"/>
    <x v="1"/>
    <x v="159"/>
    <n v="6"/>
    <n v="0.2"/>
    <x v="112"/>
    <x v="159"/>
  </r>
  <r>
    <s v="CUST024"/>
    <x v="17"/>
    <x v="3"/>
    <x v="1"/>
    <x v="160"/>
    <n v="12"/>
    <n v="0.2"/>
    <x v="113"/>
    <x v="160"/>
  </r>
  <r>
    <s v="CUST018"/>
    <x v="14"/>
    <x v="3"/>
    <x v="0"/>
    <x v="161"/>
    <n v="11"/>
    <n v="0.2"/>
    <x v="114"/>
    <x v="161"/>
  </r>
  <r>
    <s v="CUST030"/>
    <x v="11"/>
    <x v="0"/>
    <x v="1"/>
    <x v="162"/>
    <n v="17"/>
    <n v="0.1"/>
    <x v="115"/>
    <x v="162"/>
  </r>
  <r>
    <s v="CUST030"/>
    <x v="6"/>
    <x v="1"/>
    <x v="1"/>
    <x v="163"/>
    <n v="5"/>
    <n v="0.2"/>
    <x v="116"/>
    <x v="163"/>
  </r>
  <r>
    <s v="CUST015"/>
    <x v="12"/>
    <x v="1"/>
    <x v="0"/>
    <x v="164"/>
    <n v="9"/>
    <n v="0.1"/>
    <x v="117"/>
    <x v="164"/>
  </r>
  <r>
    <s v="CUST002"/>
    <x v="14"/>
    <x v="0"/>
    <x v="4"/>
    <x v="165"/>
    <n v="7"/>
    <n v="0.1"/>
    <x v="118"/>
    <x v="165"/>
  </r>
  <r>
    <s v="CUST024"/>
    <x v="5"/>
    <x v="4"/>
    <x v="1"/>
    <x v="166"/>
    <n v="16"/>
    <n v="0.1"/>
    <x v="119"/>
    <x v="166"/>
  </r>
  <r>
    <s v="CUST004"/>
    <x v="0"/>
    <x v="1"/>
    <x v="4"/>
    <x v="167"/>
    <n v="6"/>
    <n v="0.1"/>
    <x v="120"/>
    <x v="167"/>
  </r>
  <r>
    <s v="CUST004"/>
    <x v="6"/>
    <x v="2"/>
    <x v="4"/>
    <x v="168"/>
    <n v="19"/>
    <n v="0.1"/>
    <x v="121"/>
    <x v="168"/>
  </r>
  <r>
    <s v="CUST028"/>
    <x v="3"/>
    <x v="0"/>
    <x v="2"/>
    <x v="169"/>
    <n v="14"/>
    <n v="0.2"/>
    <x v="122"/>
    <x v="169"/>
  </r>
  <r>
    <s v="CUST012"/>
    <x v="12"/>
    <x v="3"/>
    <x v="1"/>
    <x v="170"/>
    <n v="4"/>
    <n v="0"/>
    <x v="123"/>
    <x v="170"/>
  </r>
  <r>
    <s v="CUST026"/>
    <x v="18"/>
    <x v="0"/>
    <x v="2"/>
    <x v="171"/>
    <n v="3"/>
    <n v="0"/>
    <x v="124"/>
    <x v="171"/>
  </r>
  <r>
    <s v="CUST009"/>
    <x v="6"/>
    <x v="3"/>
    <x v="0"/>
    <x v="172"/>
    <n v="2"/>
    <n v="0.2"/>
    <x v="125"/>
    <x v="172"/>
  </r>
  <r>
    <s v="CUST003"/>
    <x v="11"/>
    <x v="2"/>
    <x v="0"/>
    <x v="173"/>
    <n v="15"/>
    <n v="0.2"/>
    <x v="126"/>
    <x v="173"/>
  </r>
  <r>
    <s v="CUST002"/>
    <x v="13"/>
    <x v="4"/>
    <x v="4"/>
    <x v="174"/>
    <n v="12"/>
    <n v="0.2"/>
    <x v="126"/>
    <x v="174"/>
  </r>
  <r>
    <s v="CUST013"/>
    <x v="17"/>
    <x v="4"/>
    <x v="0"/>
    <x v="175"/>
    <n v="2"/>
    <n v="0.15"/>
    <x v="127"/>
    <x v="175"/>
  </r>
  <r>
    <s v="CUST018"/>
    <x v="6"/>
    <x v="4"/>
    <x v="1"/>
    <x v="176"/>
    <n v="18"/>
    <n v="0.2"/>
    <x v="128"/>
    <x v="176"/>
  </r>
  <r>
    <s v="CUST017"/>
    <x v="6"/>
    <x v="4"/>
    <x v="1"/>
    <x v="177"/>
    <n v="8"/>
    <n v="0.1"/>
    <x v="129"/>
    <x v="177"/>
  </r>
  <r>
    <s v="CUST004"/>
    <x v="5"/>
    <x v="1"/>
    <x v="0"/>
    <x v="178"/>
    <n v="6"/>
    <n v="0"/>
    <x v="130"/>
    <x v="178"/>
  </r>
  <r>
    <s v="CUST028"/>
    <x v="23"/>
    <x v="3"/>
    <x v="0"/>
    <x v="179"/>
    <n v="8"/>
    <n v="0.1"/>
    <x v="131"/>
    <x v="179"/>
  </r>
  <r>
    <s v="CUST028"/>
    <x v="20"/>
    <x v="3"/>
    <x v="0"/>
    <x v="180"/>
    <n v="15"/>
    <n v="0.2"/>
    <x v="132"/>
    <x v="180"/>
  </r>
  <r>
    <s v="CUST014"/>
    <x v="9"/>
    <x v="2"/>
    <x v="0"/>
    <x v="181"/>
    <n v="18"/>
    <n v="0.05"/>
    <x v="133"/>
    <x v="181"/>
  </r>
  <r>
    <s v="CUST003"/>
    <x v="9"/>
    <x v="1"/>
    <x v="4"/>
    <x v="182"/>
    <n v="18"/>
    <n v="0.05"/>
    <x v="134"/>
    <x v="182"/>
  </r>
  <r>
    <s v="CUST029"/>
    <x v="18"/>
    <x v="0"/>
    <x v="1"/>
    <x v="183"/>
    <n v="2"/>
    <n v="0.05"/>
    <x v="135"/>
    <x v="183"/>
  </r>
  <r>
    <s v="CUST021"/>
    <x v="18"/>
    <x v="0"/>
    <x v="3"/>
    <x v="184"/>
    <n v="14"/>
    <n v="0.2"/>
    <x v="136"/>
    <x v="184"/>
  </r>
  <r>
    <s v="CUST007"/>
    <x v="18"/>
    <x v="0"/>
    <x v="1"/>
    <x v="185"/>
    <n v="18"/>
    <n v="0"/>
    <x v="137"/>
    <x v="185"/>
  </r>
  <r>
    <s v="CUST009"/>
    <x v="17"/>
    <x v="2"/>
    <x v="1"/>
    <x v="186"/>
    <n v="9"/>
    <n v="0.1"/>
    <x v="138"/>
    <x v="186"/>
  </r>
  <r>
    <s v="CUST023"/>
    <x v="20"/>
    <x v="2"/>
    <x v="1"/>
    <x v="187"/>
    <n v="1"/>
    <n v="0"/>
    <x v="139"/>
    <x v="187"/>
  </r>
  <r>
    <s v="CUST029"/>
    <x v="4"/>
    <x v="3"/>
    <x v="2"/>
    <x v="188"/>
    <n v="15"/>
    <n v="0.2"/>
    <x v="140"/>
    <x v="188"/>
  </r>
  <r>
    <s v="CUST009"/>
    <x v="4"/>
    <x v="2"/>
    <x v="3"/>
    <x v="189"/>
    <n v="11"/>
    <n v="0.2"/>
    <x v="141"/>
    <x v="189"/>
  </r>
  <r>
    <s v="CUST007"/>
    <x v="0"/>
    <x v="2"/>
    <x v="1"/>
    <x v="190"/>
    <n v="9"/>
    <n v="0"/>
    <x v="142"/>
    <x v="190"/>
  </r>
  <r>
    <s v="CUST030"/>
    <x v="17"/>
    <x v="3"/>
    <x v="0"/>
    <x v="191"/>
    <n v="10"/>
    <n v="0.15"/>
    <x v="142"/>
    <x v="191"/>
  </r>
  <r>
    <s v="CUST018"/>
    <x v="26"/>
    <x v="4"/>
    <x v="1"/>
    <x v="192"/>
    <n v="14"/>
    <n v="0.05"/>
    <x v="143"/>
    <x v="192"/>
  </r>
  <r>
    <s v="CUST008"/>
    <x v="21"/>
    <x v="1"/>
    <x v="3"/>
    <x v="193"/>
    <n v="17"/>
    <n v="0.1"/>
    <x v="143"/>
    <x v="193"/>
  </r>
  <r>
    <s v="CUST014"/>
    <x v="11"/>
    <x v="0"/>
    <x v="1"/>
    <x v="194"/>
    <n v="8"/>
    <n v="0.15"/>
    <x v="144"/>
    <x v="194"/>
  </r>
  <r>
    <s v="CUST024"/>
    <x v="8"/>
    <x v="4"/>
    <x v="1"/>
    <x v="195"/>
    <n v="8"/>
    <n v="0.2"/>
    <x v="144"/>
    <x v="195"/>
  </r>
  <r>
    <s v="CUST028"/>
    <x v="1"/>
    <x v="2"/>
    <x v="4"/>
    <x v="196"/>
    <n v="3"/>
    <n v="0"/>
    <x v="145"/>
    <x v="196"/>
  </r>
  <r>
    <s v="CUST015"/>
    <x v="11"/>
    <x v="0"/>
    <x v="4"/>
    <x v="197"/>
    <n v="17"/>
    <n v="0"/>
    <x v="146"/>
    <x v="197"/>
  </r>
  <r>
    <s v="CUST010"/>
    <x v="8"/>
    <x v="1"/>
    <x v="0"/>
    <x v="198"/>
    <n v="8"/>
    <n v="0.05"/>
    <x v="146"/>
    <x v="198"/>
  </r>
  <r>
    <s v="CUST016"/>
    <x v="8"/>
    <x v="2"/>
    <x v="1"/>
    <x v="199"/>
    <n v="2"/>
    <n v="0.05"/>
    <x v="147"/>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6" cacheId="1"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6">
  <location ref="A4:C17" firstHeaderRow="0" firstDataRow="1" firstDataCol="1"/>
  <pivotFields count="12">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2"/>
        <item x="3"/>
        <item x="4"/>
        <item t="default"/>
      </items>
    </pivotField>
    <pivotField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axis="axisRow" numFmtId="181"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 axis="axisRow" defaultSubtotal="0" showAll="0">
      <items count="14">
        <item sd="0" x="0"/>
        <item sd="0" x="1"/>
        <item sd="0" x="2"/>
        <item sd="0" x="3"/>
        <item sd="0" x="4"/>
        <item sd="0" x="5"/>
        <item sd="0" x="6"/>
        <item sd="0" x="7"/>
        <item sd="0" x="8"/>
        <item sd="0" x="9"/>
        <item sd="0" x="10"/>
        <item sd="0" x="11"/>
        <item sd="0" x="12"/>
        <item sd="0" x="13"/>
      </items>
    </pivotField>
    <pivotField defaultSubtotal="0" showAll="0">
      <items count="6">
        <item sd="0" x="0"/>
        <item sd="0" x="1"/>
        <item sd="0" x="2"/>
        <item sd="0" x="3"/>
        <item sd="0" x="4"/>
        <item sd="0" x="5"/>
      </items>
    </pivotField>
    <pivotField defaultSubtotal="0" showAll="0">
      <items count="4">
        <item sd="0" x="0"/>
        <item sd="0" x="1"/>
        <item sd="0" x="2"/>
        <item sd="0" x="3"/>
      </items>
    </pivotField>
  </pivotFields>
  <rowFields count="2">
    <field x="9"/>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4" baseField="0" baseItem="0"/>
    <dataField name="Sum of Profit" fld="8" baseField="0" baseItem="0"/>
  </dataFields>
  <formats count="5">
    <format dxfId="0">
      <pivotArea field="9" type="button" dataOnly="0" labelOnly="1" outline="0" fieldPosition="0"/>
    </format>
    <format dxfId="1">
      <pivotArea dataOnly="0" labelOnly="1" fieldPosition="0">
        <references count="1">
          <reference field="4294967294" count="1">
            <x v="0"/>
          </reference>
        </references>
      </pivotArea>
    </format>
    <format dxfId="2">
      <pivotArea dataOnly="0" labelOnly="1" fieldPosition="0">
        <references count="1">
          <reference field="4294967294" count="1">
            <x v="1"/>
          </reference>
        </references>
      </pivotArea>
    </format>
    <format dxfId="3">
      <pivotArea dataOnly="0" labelOnly="1" grandRow="1" fieldPosition="0"/>
    </format>
    <format dxfId="4">
      <pivotArea grandRow="1"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10:B16" firstHeaderRow="1" firstDataRow="1" firstDataCol="1"/>
  <pivotFields count="11">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compact="0" showAll="0">
      <items count="6">
        <item x="4"/>
        <item x="1"/>
        <item x="3"/>
        <item x="2"/>
        <item x="0"/>
        <item t="default"/>
      </items>
    </pivotField>
    <pivotField compact="0" showAll="0">
      <items count="6">
        <item x="0"/>
        <item x="1"/>
        <item x="2"/>
        <item x="3"/>
        <item x="4"/>
        <item t="default"/>
      </items>
    </pivotField>
    <pivotField dataField="1" compact="0"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6">
        <item x="0"/>
        <item x="1"/>
        <item x="2"/>
        <item x="3"/>
        <item x="4"/>
        <item t="default"/>
      </items>
    </pivotField>
    <pivotField compact="0" numFmtId="181"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s>
  <rowFields count="1">
    <field x="2"/>
  </rowFields>
  <rowItems count="6">
    <i>
      <x/>
    </i>
    <i>
      <x v="1"/>
    </i>
    <i>
      <x v="2"/>
    </i>
    <i>
      <x v="3"/>
    </i>
    <i>
      <x v="4"/>
    </i>
    <i t="grand">
      <x/>
    </i>
  </rowItems>
  <colItems count="1">
    <i/>
  </colItems>
  <dataFields count="1">
    <dataField name="Sum of Sales" fld="4" baseField="0" baseItem="0" numFmtId="18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25:B31" firstHeaderRow="1" firstDataRow="1" firstDataCol="1"/>
  <pivotFields count="11">
    <pivotField compact="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showAll="0">
      <items count="6">
        <item x="4"/>
        <item x="1"/>
        <item x="3"/>
        <item x="2"/>
        <item x="0"/>
        <item t="default"/>
      </items>
    </pivotField>
    <pivotField axis="axisRow" compact="0" showAll="0">
      <items count="6">
        <item x="0"/>
        <item x="1"/>
        <item x="2"/>
        <item x="3"/>
        <item x="4"/>
        <item t="default"/>
      </items>
    </pivotField>
    <pivotField dataField="1" compact="0"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6">
        <item x="0"/>
        <item x="1"/>
        <item x="2"/>
        <item x="3"/>
        <item x="4"/>
        <item t="default"/>
      </items>
    </pivotField>
    <pivotField compact="0" numFmtId="181"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compact="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s>
  <rowFields count="1">
    <field x="3"/>
  </rowFields>
  <rowItems count="6">
    <i>
      <x/>
    </i>
    <i>
      <x v="1"/>
    </i>
    <i>
      <x v="2"/>
    </i>
    <i>
      <x v="3"/>
    </i>
    <i>
      <x v="4"/>
    </i>
    <i t="grand">
      <x/>
    </i>
  </rowItems>
  <colItems count="1">
    <i/>
  </colItems>
  <dataFields count="1">
    <dataField name="Sum of Sales" fld="4" baseField="0" baseItem="0" numFmtId="18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 autoFormatId="1" applyNumberFormats="0" applyBorderFormats="0" applyFontFormats="0" applyPatternFormats="0" applyAlignmentFormats="0" applyWidthHeightFormats="1" dataCaption="Values" updatedVersion="5" minRefreshableVersion="3" createdVersion="8" useAutoFormatting="1" indent="0" outline="1" outlineData="1" showDrill="1" multipleFieldFilters="0" chartFormat="4">
  <location ref="A38:B51" firstHeaderRow="1" firstDataRow="1" firstDataCol="1"/>
  <pivotFields count="12">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items count="6">
        <item x="0"/>
        <item x="1"/>
        <item x="2"/>
        <item x="3"/>
        <item x="4"/>
        <item t="default"/>
      </items>
    </pivotField>
    <pivotField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axis="axisRow" numFmtId="181"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defaultSubtotal="0" showAll="0">
      <items count="14">
        <item sd="0" x="0"/>
        <item sd="0" x="1"/>
        <item sd="0" x="2"/>
        <item sd="0" x="3"/>
        <item sd="0" x="4"/>
        <item sd="0" x="5"/>
        <item sd="0" x="6"/>
        <item sd="0" x="7"/>
        <item sd="0" x="8"/>
        <item sd="0" x="9"/>
        <item sd="0" x="10"/>
        <item sd="0" x="11"/>
        <item sd="0" x="12"/>
        <item sd="0" x="13"/>
      </items>
    </pivotField>
    <pivotField defaultSubtotal="0" showAll="0">
      <items count="6">
        <item sd="0" x="0"/>
        <item sd="0" x="1"/>
        <item sd="0" x="2"/>
        <item sd="0" x="3"/>
        <item sd="0" x="4"/>
        <item sd="0" x="5"/>
      </items>
    </pivotField>
    <pivotField defaultSubtotal="0" showAll="0">
      <items count="4">
        <item sd="0" x="0"/>
        <item sd="0" x="1"/>
        <item sd="0" x="2"/>
        <item sd="0" x="3"/>
      </items>
    </pivotField>
  </pivotFields>
  <rowFields count="2">
    <field x="9"/>
    <field x="7"/>
  </rowFields>
  <rowItems count="13">
    <i>
      <x v="1"/>
    </i>
    <i>
      <x v="2"/>
    </i>
    <i>
      <x v="3"/>
    </i>
    <i>
      <x v="4"/>
    </i>
    <i>
      <x v="5"/>
    </i>
    <i>
      <x v="6"/>
    </i>
    <i>
      <x v="7"/>
    </i>
    <i>
      <x v="8"/>
    </i>
    <i>
      <x v="9"/>
    </i>
    <i>
      <x v="10"/>
    </i>
    <i>
      <x v="11"/>
    </i>
    <i>
      <x v="12"/>
    </i>
    <i t="grand">
      <x/>
    </i>
  </rowItems>
  <colItems count="1">
    <i/>
  </colItems>
  <dataFields count="1">
    <dataField name="Sum of Sales"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4" Type="http://schemas.openxmlformats.org/officeDocument/2006/relationships/drawing" Target="../drawings/drawing3.xml"/><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47"/>
  <sheetViews>
    <sheetView topLeftCell="A2" workbookViewId="0">
      <selection activeCell="A2" sqref="A2"/>
    </sheetView>
  </sheetViews>
  <sheetFormatPr defaultColWidth="14.4259259259259" defaultRowHeight="15" customHeight="1"/>
  <cols>
    <col min="1" max="1" width="74.8611111111111" customWidth="1"/>
    <col min="2" max="26" width="8.71296296296296" customWidth="1"/>
  </cols>
  <sheetData>
    <row r="1" spans="1:26">
      <c r="A1" s="38" t="s">
        <v>0</v>
      </c>
      <c r="B1" s="39"/>
      <c r="C1" s="39"/>
      <c r="D1" s="39"/>
      <c r="E1" s="39"/>
      <c r="F1" s="39"/>
      <c r="G1" s="39"/>
      <c r="H1" s="39"/>
      <c r="I1" s="39"/>
      <c r="J1" s="39"/>
      <c r="K1" s="39"/>
      <c r="L1" s="39"/>
      <c r="M1" s="39"/>
      <c r="N1" s="39"/>
      <c r="O1" s="39"/>
      <c r="P1" s="39"/>
      <c r="Q1" s="39"/>
      <c r="R1" s="39"/>
      <c r="S1" s="39"/>
      <c r="T1" s="39"/>
      <c r="U1" s="39"/>
      <c r="V1" s="39"/>
      <c r="W1" s="39"/>
      <c r="X1" s="39"/>
      <c r="Y1" s="39"/>
      <c r="Z1" s="39"/>
    </row>
    <row r="2" ht="409.5" spans="1:26">
      <c r="A2" s="40" t="s">
        <v>1</v>
      </c>
      <c r="B2" s="39"/>
      <c r="C2" s="39"/>
      <c r="D2" s="39"/>
      <c r="E2" s="39"/>
      <c r="F2" s="39"/>
      <c r="G2" s="39"/>
      <c r="H2" s="39"/>
      <c r="I2" s="39"/>
      <c r="J2" s="39"/>
      <c r="K2" s="39"/>
      <c r="L2" s="39"/>
      <c r="M2" s="39"/>
      <c r="N2" s="39"/>
      <c r="O2" s="39"/>
      <c r="P2" s="39"/>
      <c r="Q2" s="39"/>
      <c r="R2" s="39"/>
      <c r="S2" s="39"/>
      <c r="T2" s="39"/>
      <c r="U2" s="39"/>
      <c r="V2" s="39"/>
      <c r="W2" s="39"/>
      <c r="X2" s="39"/>
      <c r="Y2" s="39"/>
      <c r="Z2" s="39"/>
    </row>
    <row r="3" spans="1:26">
      <c r="A3" s="39"/>
      <c r="B3" s="39"/>
      <c r="C3" s="39"/>
      <c r="D3" s="39"/>
      <c r="E3" s="39"/>
      <c r="F3" s="39"/>
      <c r="G3" s="39"/>
      <c r="H3" s="39"/>
      <c r="I3" s="39"/>
      <c r="J3" s="39"/>
      <c r="K3" s="39"/>
      <c r="L3" s="39"/>
      <c r="M3" s="39"/>
      <c r="N3" s="39"/>
      <c r="O3" s="39"/>
      <c r="P3" s="39"/>
      <c r="Q3" s="39"/>
      <c r="R3" s="39"/>
      <c r="S3" s="39"/>
      <c r="T3" s="39"/>
      <c r="U3" s="39"/>
      <c r="V3" s="39"/>
      <c r="W3" s="39"/>
      <c r="X3" s="39"/>
      <c r="Y3" s="39"/>
      <c r="Z3" s="39"/>
    </row>
    <row r="4" ht="15.75" customHeight="1" spans="1:26">
      <c r="A4" s="39"/>
      <c r="B4" s="39"/>
      <c r="C4" s="39"/>
      <c r="D4" s="39"/>
      <c r="E4" s="39"/>
      <c r="F4" s="39"/>
      <c r="G4" s="39"/>
      <c r="H4" s="39"/>
      <c r="I4" s="39"/>
      <c r="J4" s="39"/>
      <c r="K4" s="39"/>
      <c r="L4" s="39"/>
      <c r="M4" s="39"/>
      <c r="N4" s="39"/>
      <c r="O4" s="39"/>
      <c r="P4" s="39"/>
      <c r="Q4" s="39"/>
      <c r="R4" s="39"/>
      <c r="S4" s="39"/>
      <c r="T4" s="39"/>
      <c r="U4" s="39"/>
      <c r="V4" s="39"/>
      <c r="W4" s="39"/>
      <c r="X4" s="39"/>
      <c r="Y4" s="39"/>
      <c r="Z4" s="39"/>
    </row>
    <row r="5" ht="15.75" customHeight="1" spans="1:26">
      <c r="A5" s="39"/>
      <c r="B5" s="39"/>
      <c r="C5" s="39"/>
      <c r="D5" s="39"/>
      <c r="E5" s="39"/>
      <c r="F5" s="39"/>
      <c r="G5" s="39"/>
      <c r="H5" s="39"/>
      <c r="I5" s="39"/>
      <c r="J5" s="39"/>
      <c r="K5" s="39"/>
      <c r="L5" s="39"/>
      <c r="M5" s="39"/>
      <c r="N5" s="39"/>
      <c r="O5" s="39"/>
      <c r="P5" s="39"/>
      <c r="Q5" s="39"/>
      <c r="R5" s="39"/>
      <c r="S5" s="39"/>
      <c r="T5" s="39"/>
      <c r="U5" s="39"/>
      <c r="V5" s="39"/>
      <c r="W5" s="39"/>
      <c r="X5" s="39"/>
      <c r="Y5" s="39"/>
      <c r="Z5" s="39"/>
    </row>
    <row r="6" ht="15.75" customHeight="1" spans="1:26">
      <c r="A6" s="39"/>
      <c r="B6" s="39"/>
      <c r="C6" s="39"/>
      <c r="D6" s="39"/>
      <c r="E6" s="39"/>
      <c r="F6" s="39"/>
      <c r="G6" s="39"/>
      <c r="H6" s="39"/>
      <c r="I6" s="39"/>
      <c r="J6" s="39"/>
      <c r="K6" s="39"/>
      <c r="L6" s="39"/>
      <c r="M6" s="39"/>
      <c r="N6" s="39"/>
      <c r="O6" s="39"/>
      <c r="P6" s="39"/>
      <c r="Q6" s="39"/>
      <c r="R6" s="39"/>
      <c r="S6" s="39"/>
      <c r="T6" s="39"/>
      <c r="U6" s="39"/>
      <c r="V6" s="39"/>
      <c r="W6" s="39"/>
      <c r="X6" s="39"/>
      <c r="Y6" s="39"/>
      <c r="Z6" s="39"/>
    </row>
    <row r="7" ht="15.75" customHeight="1" spans="1:26">
      <c r="A7" s="39"/>
      <c r="B7" s="39"/>
      <c r="C7" s="39"/>
      <c r="D7" s="39"/>
      <c r="E7" s="39"/>
      <c r="F7" s="39"/>
      <c r="G7" s="39"/>
      <c r="H7" s="39"/>
      <c r="I7" s="39"/>
      <c r="J7" s="39"/>
      <c r="K7" s="39"/>
      <c r="L7" s="39"/>
      <c r="M7" s="39"/>
      <c r="N7" s="39"/>
      <c r="O7" s="39"/>
      <c r="P7" s="39"/>
      <c r="Q7" s="39"/>
      <c r="R7" s="39"/>
      <c r="S7" s="39"/>
      <c r="T7" s="39"/>
      <c r="U7" s="39"/>
      <c r="V7" s="39"/>
      <c r="W7" s="39"/>
      <c r="X7" s="39"/>
      <c r="Y7" s="39"/>
      <c r="Z7" s="39"/>
    </row>
    <row r="8" ht="15.75" customHeight="1" spans="1:26">
      <c r="A8" s="39"/>
      <c r="B8" s="39"/>
      <c r="C8" s="39"/>
      <c r="D8" s="39"/>
      <c r="E8" s="39"/>
      <c r="F8" s="39"/>
      <c r="G8" s="39"/>
      <c r="H8" s="39"/>
      <c r="I8" s="39"/>
      <c r="J8" s="39"/>
      <c r="K8" s="39"/>
      <c r="L8" s="39"/>
      <c r="M8" s="39"/>
      <c r="N8" s="39"/>
      <c r="O8" s="39"/>
      <c r="P8" s="39"/>
      <c r="Q8" s="39"/>
      <c r="R8" s="39"/>
      <c r="S8" s="39"/>
      <c r="T8" s="39"/>
      <c r="U8" s="39"/>
      <c r="V8" s="39"/>
      <c r="W8" s="39"/>
      <c r="X8" s="39"/>
      <c r="Y8" s="39"/>
      <c r="Z8" s="39"/>
    </row>
    <row r="9" ht="15.75" customHeight="1" spans="1:26">
      <c r="A9" s="39"/>
      <c r="B9" s="39"/>
      <c r="C9" s="39"/>
      <c r="D9" s="39"/>
      <c r="E9" s="39"/>
      <c r="F9" s="39"/>
      <c r="G9" s="39"/>
      <c r="H9" s="39"/>
      <c r="I9" s="39"/>
      <c r="J9" s="39"/>
      <c r="K9" s="39"/>
      <c r="L9" s="39"/>
      <c r="M9" s="39"/>
      <c r="N9" s="39"/>
      <c r="O9" s="39"/>
      <c r="P9" s="39"/>
      <c r="Q9" s="39"/>
      <c r="R9" s="39"/>
      <c r="S9" s="39"/>
      <c r="T9" s="39"/>
      <c r="U9" s="39"/>
      <c r="V9" s="39"/>
      <c r="W9" s="39"/>
      <c r="X9" s="39"/>
      <c r="Y9" s="39"/>
      <c r="Z9" s="39"/>
    </row>
    <row r="10" ht="15.75" customHeight="1" spans="1:26">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ht="15.75" customHeight="1" spans="1:26">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ht="15.75" customHeight="1" spans="1:26">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ht="15.75" customHeight="1" spans="1:26">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ht="15.75" customHeight="1" spans="1:26">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ht="15.75" customHeight="1" spans="1:26">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ht="15.75" customHeight="1" spans="1:2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ht="15.75" customHeight="1" spans="1:26">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15.75" customHeight="1" spans="1:26">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ht="15.75" customHeight="1" spans="1:26">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ht="15.75" customHeight="1" spans="1:26">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15.75" customHeight="1" spans="1:26">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15.75" customHeight="1" spans="1:26">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5.75" customHeight="1" spans="1:26">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15.75" customHeight="1" spans="1:26">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15.75" customHeight="1" spans="1:26">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15.75" customHeight="1" spans="1: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15.75" customHeight="1" spans="1:26">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15.75" customHeight="1" spans="1:26">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15.75" customHeight="1" spans="1:26">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15.75" customHeight="1" spans="1:26">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15.75" customHeight="1" spans="1:26">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15.75" customHeight="1" spans="1:26">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15.75" customHeight="1" spans="1:26">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15.75" customHeight="1" spans="1:26">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15.75" customHeight="1" spans="1:26">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15.75" customHeight="1" spans="1:2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15.75" customHeight="1" spans="1:26">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15.75" customHeight="1" spans="1:26">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15.75" customHeight="1" spans="1:26">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15.75" customHeight="1" spans="1:26">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5.75" customHeight="1" spans="1:26">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5.75" customHeight="1" spans="1:26">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15.75" customHeight="1" spans="1:26">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15.75" customHeight="1" spans="1:26">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15.75" customHeight="1" spans="1:26">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15.75" customHeight="1" spans="1:2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5.75" customHeight="1" spans="1:26">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5.75" customHeight="1" spans="1:26">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5.75" customHeight="1" spans="1:26">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5.75" customHeight="1" spans="1:26">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5.75" customHeight="1" spans="1:26">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5.75" customHeight="1" spans="1:26">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5.75" customHeight="1" spans="1:26">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5.75" customHeight="1" spans="1:26">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5.75" customHeight="1" spans="1:26">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5.75" customHeight="1" spans="1:2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5.75" customHeight="1" spans="1:26">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5.75" customHeight="1" spans="1:26">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5.75" customHeight="1" spans="1:26">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5.75" customHeight="1" spans="1:26">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5.75" customHeight="1" spans="1:26">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5.75" customHeight="1" spans="1:26">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5.75" customHeight="1" spans="1:26">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5.75" customHeight="1" spans="1:26">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5.75" customHeight="1" spans="1:26">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5.75" customHeight="1" spans="1:2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5.75" customHeight="1" spans="1:26">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5.75" customHeight="1" spans="1:26">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5.75" customHeight="1" spans="1:26">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5.75" customHeight="1" spans="1:26">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5.75" customHeight="1" spans="1:26">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5.75" customHeight="1" spans="1:26">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5.75" customHeight="1" spans="1:26">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5.75" customHeight="1" spans="1:26">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5.75" customHeight="1" spans="1:26">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5.75" customHeight="1" spans="1:2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5.75" customHeight="1" spans="1:26">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5.75" customHeight="1" spans="1:26">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5.75" customHeight="1" spans="1:26">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5.75" customHeight="1" spans="1:26">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5.75" customHeight="1" spans="1:26">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5.75" customHeight="1" spans="1:26">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5.75" customHeight="1" spans="1:26">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5.75" customHeight="1" spans="1:26">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5.75" customHeight="1" spans="1:26">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5.75" customHeight="1" spans="1:2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5.75" customHeight="1" spans="1:26">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5.75" customHeight="1" spans="1:26">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5.75" customHeight="1" spans="1:26">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5.75" customHeight="1" spans="1:26">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5.75" customHeight="1" spans="1:26">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5.75" customHeight="1" spans="1:26">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5.75" customHeight="1" spans="1:26">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5.75" customHeight="1" spans="1:26">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5.75" customHeight="1" spans="1:26">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5.75" customHeight="1" spans="1:2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5.75" customHeight="1" spans="1:26">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5.75" customHeight="1" spans="1:26">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5.75" customHeight="1" spans="1:26">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5.75" customHeight="1" spans="1:26">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75" customHeight="1" spans="1:26">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75" customHeight="1" spans="1:26">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75" customHeight="1" spans="1:26">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75" customHeight="1" spans="1:26">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75" customHeight="1" spans="1:26">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75" customHeight="1" spans="1:2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75" customHeight="1" spans="1:26">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75" customHeight="1" spans="1:26">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75" customHeight="1" spans="1:26">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75" customHeight="1" spans="1:26">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75" customHeight="1" spans="1:26">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75" customHeight="1" spans="1:26">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75" customHeight="1" spans="1:26">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75" customHeight="1" spans="1:26">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75" customHeight="1" spans="1:26">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75" customHeight="1" spans="1:2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75" customHeight="1" spans="1:26">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75" customHeight="1" spans="1:26">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75" customHeight="1" spans="1:26">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75" customHeight="1" spans="1:26">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75" customHeight="1" spans="1:26">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75" customHeight="1" spans="1:26">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75" customHeight="1" spans="1:26">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75" customHeight="1" spans="1:26">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75" customHeight="1" spans="1:26">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75" customHeight="1" spans="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75" customHeight="1" spans="1:26">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75" customHeight="1" spans="1:26">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75" customHeight="1" spans="1:26">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5.75" customHeight="1" spans="1:26">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5.75" customHeight="1" spans="1:26">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5.75" customHeight="1" spans="1:26">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75" customHeight="1" spans="1:26">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5.75" customHeight="1" spans="1:26">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5.75" customHeight="1" spans="1:26">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5.75" customHeight="1" spans="1:2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75" customHeight="1" spans="1:26">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5.75" customHeight="1" spans="1:26">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5.75" customHeight="1" spans="1:26">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5.75" customHeight="1" spans="1:26">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75" customHeight="1" spans="1:26">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5.75" customHeight="1" spans="1:26">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5.75" customHeight="1" spans="1:26">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5.75" customHeight="1" spans="1:26">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5.75" customHeight="1" spans="1:26">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5.75" customHeight="1" spans="1:2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5.75" customHeight="1" spans="1:26">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5.75" customHeight="1" spans="1:26">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5.75" customHeight="1" spans="1:26">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5.75" customHeight="1" spans="1:26">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5.75" customHeight="1" spans="1:26">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75" customHeight="1" spans="1:26">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5.75" customHeight="1" spans="1:26">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5.75" customHeight="1" spans="1:26">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5.75" customHeight="1" spans="1:26">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5.75" customHeight="1" spans="1:2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75" customHeight="1" spans="1:26">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5.75" customHeight="1" spans="1:26">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5.75" customHeight="1" spans="1:26">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5.75" customHeight="1" spans="1:26">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75" customHeight="1" spans="1:26">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5.75" customHeight="1" spans="1:26">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5.75" customHeight="1" spans="1:26">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5.75" customHeight="1" spans="1:26">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75" customHeight="1" spans="1:26">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5.75" customHeight="1" spans="1:2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5.75" customHeight="1" spans="1:26">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5.75" customHeight="1" spans="1:26">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75" customHeight="1" spans="1:26">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5.75" customHeight="1" spans="1:26">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5.75" customHeight="1" spans="1:26">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5.75" customHeight="1" spans="1:26">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5.75" customHeight="1" spans="1:26">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5.75" customHeight="1" spans="1:26">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5.75" customHeight="1" spans="1:26">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5.75" customHeight="1" spans="1:2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5.75" customHeight="1" spans="1:26">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5.75" customHeight="1" spans="1:26">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5.75" customHeight="1" spans="1:26">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5.75" customHeight="1" spans="1:26">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5.75" customHeight="1" spans="1:26">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5.75" customHeight="1" spans="1:26">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5.75" customHeight="1" spans="1:26">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5.75" customHeight="1" spans="1:26">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5.75" customHeight="1" spans="1:26">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5.75" customHeight="1" spans="1:2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5.75" customHeight="1" spans="1:26">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spans="1:26">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5.75" customHeight="1" spans="1:26">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5.75" customHeight="1" spans="1:26">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5.75" customHeight="1" spans="1:26">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5.75" customHeight="1" spans="1:26">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5.75" customHeight="1" spans="1:26">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5.75" customHeight="1" spans="1:26">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5.75" customHeight="1" spans="1:26">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5.75" customHeight="1" spans="1:2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5.75" customHeight="1" spans="1:26">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5.75" customHeight="1" spans="1:26">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5.75" customHeight="1" spans="1:26">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5.75" customHeight="1" spans="1:26">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5.75" customHeight="1" spans="1:26">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5.75" customHeight="1" spans="1:26">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5.75" customHeight="1" spans="1:26">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5.75" customHeight="1" spans="1:26">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5.75" customHeight="1" spans="1:26">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5.75" customHeight="1" spans="1:2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5.75" customHeight="1" spans="1:26">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5.75" customHeight="1" spans="1:26">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5.75" customHeight="1" spans="1:26">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5.75" customHeight="1" spans="1:26">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5.75" customHeight="1" spans="1:26">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5.75" customHeight="1" spans="1:26">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5.75" customHeight="1" spans="1:26">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5.75" customHeight="1" spans="1:26">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5.75" customHeight="1" spans="1:26">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5.75" customHeight="1" spans="1:2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5.75" customHeight="1" spans="1:26">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5.75" customHeight="1" spans="1:26">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5.75" customHeight="1" spans="1:26">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5.75" customHeight="1" spans="1:26">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5.75" customHeight="1" spans="1:26">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5.75" customHeight="1" spans="1:26">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5.75" customHeight="1" spans="1:26">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5.75" customHeight="1" spans="1:26">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5.75" customHeight="1" spans="1:26">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5.75" customHeight="1" spans="1: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5.75" customHeight="1" spans="1:26">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5.75" customHeight="1" spans="1:26">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5.75" customHeight="1" spans="1:26">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5.75" customHeight="1" spans="1:26">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5.75" customHeight="1" spans="1:26">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5.75" customHeight="1" spans="1:26">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5.75" customHeight="1" spans="1:26">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5.75" customHeight="1" spans="1:26">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5.75" customHeight="1" spans="1:26">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5.75" customHeight="1" spans="1:2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5.75" customHeight="1" spans="1:26">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5.75" customHeight="1" spans="1:26">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5.75" customHeight="1" spans="1:26">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5.75" customHeight="1" spans="1:26">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5.75" customHeight="1" spans="1:26">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5.75" customHeight="1" spans="1:26">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5.75" customHeight="1" spans="1:26">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5.75" customHeight="1" spans="1:26">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5.75" customHeight="1" spans="1:26">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5.75" customHeight="1" spans="1:2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5.75" customHeight="1" spans="1:26">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5.75" customHeight="1" spans="1:26">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5.75" customHeight="1" spans="1:26">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5.75" customHeight="1" spans="1:26">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5.75" customHeight="1" spans="1:26">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5.75" customHeight="1" spans="1:26">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5.75" customHeight="1" spans="1:26">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5.75" customHeight="1" spans="1:26">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5.75" customHeight="1" spans="1:26">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5.75" customHeight="1" spans="1:2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5.75" customHeight="1" spans="1:26">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5.75" customHeight="1" spans="1:26">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5.75" customHeight="1" spans="1:26">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5.75" customHeight="1" spans="1:26">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5.75" customHeight="1" spans="1:26">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5.75" customHeight="1" spans="1:26">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5.75" customHeight="1" spans="1:26">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5.75" customHeight="1" spans="1:26">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5.75" customHeight="1" spans="1:26">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5.75" customHeight="1" spans="1:2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5.75" customHeight="1" spans="1:26">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5.75" customHeight="1" spans="1:26">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5.75" customHeight="1" spans="1:26">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5.75" customHeight="1" spans="1:26">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5.75" customHeight="1" spans="1:26">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5.75" customHeight="1" spans="1:26">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5.75" customHeight="1" spans="1:26">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5.75" customHeight="1" spans="1:26">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5.75" customHeight="1" spans="1:26">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5.75" customHeight="1" spans="1:2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5.75" customHeight="1" spans="1:26">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5.75" customHeight="1" spans="1:26">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5.75" customHeight="1" spans="1:26">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5.75" customHeight="1" spans="1:26">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5.75" customHeight="1" spans="1:26">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5.75" customHeight="1" spans="1:26">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5.75" customHeight="1" spans="1:26">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5.75" customHeight="1" spans="1:26">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5.75" customHeight="1" spans="1:26">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5.75" customHeight="1" spans="1:2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5.75" customHeight="1" spans="1:26">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5.75" customHeight="1" spans="1:26">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5.75" customHeight="1" spans="1:26">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5.75" customHeight="1" spans="1:26">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5.75" customHeight="1" spans="1:26">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5.75" customHeight="1" spans="1:26">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5.75" customHeight="1" spans="1:26">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5.75" customHeight="1" spans="1:26">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5.75" customHeight="1" spans="1:26">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5.75" customHeight="1" spans="1:2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5.75" customHeight="1" spans="1:26">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5.75" customHeight="1" spans="1:26">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5.75" customHeight="1" spans="1:26">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5.75" customHeight="1" spans="1:26">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5.75" customHeight="1" spans="1:26">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5.75" customHeight="1" spans="1:26">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5.75" customHeight="1" spans="1:26">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5.75" customHeight="1" spans="1:26">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5.75" customHeight="1" spans="1:26">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5.75" customHeight="1" spans="1:2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5.75" customHeight="1" spans="1:26">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5.75" customHeight="1" spans="1:26">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5.75" customHeight="1" spans="1:26">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5.75" customHeight="1" spans="1:26">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5.75" customHeight="1" spans="1:26">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5.75" customHeight="1" spans="1:26">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5.75" customHeight="1" spans="1:26">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5.75" customHeight="1" spans="1:26">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5.75" customHeight="1" spans="1:26">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5.75" customHeight="1" spans="1:2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5.75" customHeight="1" spans="1:26">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5.75" customHeight="1" spans="1:26">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5.75" customHeight="1" spans="1:26">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5.75" customHeight="1" spans="1:26">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5.75" customHeight="1" spans="1:26">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5.75" customHeight="1" spans="1:26">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5.75" customHeight="1" spans="1:26">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5.75" customHeight="1" spans="1:26">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5.75" customHeight="1" spans="1:26">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5.75" customHeight="1" spans="1: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5.75" customHeight="1" spans="1:26">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5.75" customHeight="1" spans="1:26">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5.75" customHeight="1" spans="1:26">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5.75" customHeight="1" spans="1:26">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5.75" customHeight="1" spans="1:26">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5.75" customHeight="1" spans="1:26">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5.75" customHeight="1" spans="1:26">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5.75" customHeight="1" spans="1:26">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5.75" customHeight="1" spans="1:26">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5.75" customHeight="1" spans="1:2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5.75" customHeight="1" spans="1:26">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5.75" customHeight="1" spans="1:26">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5.75" customHeight="1" spans="1:26">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5.75" customHeight="1" spans="1:26">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5.75" customHeight="1" spans="1:26">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5.75" customHeight="1" spans="1:26">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5.75" customHeight="1" spans="1:26">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5.75" customHeight="1" spans="1:26">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5.75" customHeight="1" spans="1:26">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5.75" customHeight="1" spans="1:2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5.75" customHeight="1" spans="1:26">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5.75" customHeight="1" spans="1:26">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5.75" customHeight="1" spans="1:26">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5.75" customHeight="1" spans="1:26">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5.75" customHeight="1" spans="1:26">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5.75" customHeight="1" spans="1:26">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5.75" customHeight="1" spans="1:26">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5.75" customHeight="1" spans="1:26">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5.75" customHeight="1" spans="1:26">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5.75" customHeight="1" spans="1:2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5.75" customHeight="1" spans="1:26">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5.75" customHeight="1" spans="1:26">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5.75" customHeight="1" spans="1:26">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5.75" customHeight="1" spans="1:26">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5.75" customHeight="1" spans="1:26">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5.75" customHeight="1" spans="1:26">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5.75" customHeight="1" spans="1:26">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5.75" customHeight="1" spans="1:26">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5.75" customHeight="1" spans="1:26">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5.75" customHeight="1" spans="1:2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5.75" customHeight="1" spans="1:26">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5.75" customHeight="1" spans="1:26">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5.75" customHeight="1" spans="1:26">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5.75" customHeight="1" spans="1:26">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5.75" customHeight="1" spans="1:26">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5.75" customHeight="1" spans="1:26">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5.75" customHeight="1" spans="1:26">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5.75" customHeight="1" spans="1:26">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5.75" customHeight="1" spans="1:26">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5.75" customHeight="1" spans="1:2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5.75" customHeight="1" spans="1:26">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5.75" customHeight="1" spans="1:26">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5.75" customHeight="1" spans="1:26">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5.75" customHeight="1" spans="1:26">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5.75" customHeight="1" spans="1:26">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5.75" customHeight="1" spans="1:26">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5.75" customHeight="1" spans="1:26">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5.75" customHeight="1" spans="1:26">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5.75" customHeight="1" spans="1:26">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5.75" customHeight="1" spans="1:2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5.75" customHeight="1" spans="1:26">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5.75" customHeight="1" spans="1:26">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5.75" customHeight="1" spans="1:26">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5.75" customHeight="1" spans="1:26">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5.75" customHeight="1" spans="1:26">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5.75" customHeight="1" spans="1:26">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5.75" customHeight="1" spans="1:26">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5.75" customHeight="1" spans="1:26">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5.75" customHeight="1" spans="1:26">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5.75" customHeight="1" spans="1:2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5.75" customHeight="1" spans="1:26">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5.75" customHeight="1" spans="1:26">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5.75" customHeight="1" spans="1:26">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5.75" customHeight="1" spans="1:26">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5.75" customHeight="1" spans="1:26">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5.75" customHeight="1" spans="1:26">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5.75" customHeight="1" spans="1:26">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5.75" customHeight="1" spans="1:26">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5.75" customHeight="1" spans="1:26">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5.75" customHeight="1" spans="1:2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5.75" customHeight="1" spans="1:26">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5.75" customHeight="1" spans="1:26">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5.75" customHeight="1" spans="1:26">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5.75" customHeight="1" spans="1:26">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5.75" customHeight="1" spans="1:26">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5.75" customHeight="1" spans="1:26">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5.75" customHeight="1" spans="1:26">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5.75" customHeight="1" spans="1:26">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5.75" customHeight="1" spans="1:26">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5.75" customHeight="1" spans="1:2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5.75" customHeight="1" spans="1:26">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5.75" customHeight="1" spans="1:26">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5.75" customHeight="1" spans="1:26">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5.75" customHeight="1" spans="1:26">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5.75" customHeight="1" spans="1:26">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5.75" customHeight="1" spans="1:26">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5.75" customHeight="1" spans="1:26">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5.75" customHeight="1" spans="1:26">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5.75" customHeight="1" spans="1:26">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5.75" customHeight="1" spans="1: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5.75" customHeight="1" spans="1:26">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5.75" customHeight="1" spans="1:26">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5.75" customHeight="1" spans="1:26">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5.75" customHeight="1" spans="1:26">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5.75" customHeight="1" spans="1:26">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5.75" customHeight="1" spans="1:26">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5.75" customHeight="1" spans="1:26">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5.75" customHeight="1" spans="1:26">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5.75" customHeight="1" spans="1:26">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5.75" customHeight="1" spans="1:2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5.75" customHeight="1" spans="1:26">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5.75" customHeight="1" spans="1:26">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5.75" customHeight="1" spans="1:26">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5.75" customHeight="1" spans="1:26">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5.75" customHeight="1" spans="1:26">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5.75" customHeight="1" spans="1:26">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5.75" customHeight="1" spans="1:26">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5.75" customHeight="1" spans="1:26">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5.75" customHeight="1" spans="1:26">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5.75" customHeight="1" spans="1:2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5.75" customHeight="1" spans="1:26">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5.75" customHeight="1" spans="1:26">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5.75" customHeight="1" spans="1:26">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5.75" customHeight="1" spans="1:26">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5.75" customHeight="1" spans="1:26">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5.75" customHeight="1" spans="1:26">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5.75" customHeight="1" spans="1:26">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5.75" customHeight="1" spans="1:26">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5.75" customHeight="1" spans="1:26">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5.75" customHeight="1" spans="1:2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5.75" customHeight="1" spans="1:26">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5.75" customHeight="1" spans="1:26">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5.75" customHeight="1" spans="1:26">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5.75" customHeight="1" spans="1:26">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5.75" customHeight="1" spans="1:26">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5.75" customHeight="1" spans="1:26">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5.75" customHeight="1" spans="1:26">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5.75" customHeight="1" spans="1:26">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5.75" customHeight="1" spans="1:26">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5.75" customHeight="1" spans="1:2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5.75" customHeight="1" spans="1:26">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5.75" customHeight="1" spans="1:26">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5.75" customHeight="1" spans="1:26">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5.75" customHeight="1" spans="1:26">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5.75" customHeight="1" spans="1:26">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5.75" customHeight="1" spans="1:26">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5.75" customHeight="1" spans="1:26">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5.75" customHeight="1" spans="1:26">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5.75" customHeight="1" spans="1:26">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5.75" customHeight="1" spans="1:2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5.75" customHeight="1" spans="1:26">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5.75" customHeight="1" spans="1:26">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5.75" customHeight="1" spans="1:26">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5.75" customHeight="1" spans="1:26">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5.75" customHeight="1" spans="1:26">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5.75" customHeight="1" spans="1:26">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5.75" customHeight="1" spans="1:26">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5.75" customHeight="1" spans="1:26">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5.75" customHeight="1" spans="1:26">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5.75" customHeight="1" spans="1:2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5.75" customHeight="1" spans="1:26">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5.75" customHeight="1" spans="1:26">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5.75" customHeight="1" spans="1:26">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5.75" customHeight="1" spans="1:26">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5.75" customHeight="1" spans="1:26">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5.75" customHeight="1" spans="1:26">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5.75" customHeight="1" spans="1:26">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5.75" customHeight="1" spans="1:26">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5.75" customHeight="1" spans="1:26">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5.75" customHeight="1" spans="1:2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5.75" customHeight="1" spans="1:26">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5.75" customHeight="1" spans="1:26">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5.75" customHeight="1" spans="1:26">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5.75" customHeight="1" spans="1:26">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5.75" customHeight="1" spans="1:26">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5.75" customHeight="1" spans="1:26">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5.75" customHeight="1" spans="1:26">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5.75" customHeight="1" spans="1:26">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5.75" customHeight="1" spans="1:26">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5.75" customHeight="1" spans="1:2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5.75" customHeight="1" spans="1:26">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5.75" customHeight="1" spans="1:26">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5.75" customHeight="1" spans="1:26">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5.75" customHeight="1" spans="1:26">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5.75" customHeight="1" spans="1:26">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5.75" customHeight="1" spans="1:26">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5.75" customHeight="1" spans="1:26">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5.75" customHeight="1" spans="1:26">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5.75" customHeight="1" spans="1:26">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5.75" customHeight="1" spans="1:2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5.75" customHeight="1" spans="1:26">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5.75" customHeight="1" spans="1:26">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5.75" customHeight="1" spans="1:26">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5.75" customHeight="1" spans="1:26">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5.75" customHeight="1" spans="1:26">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5.75" customHeight="1" spans="1:26">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5.75" customHeight="1" spans="1:26">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5.75" customHeight="1" spans="1:26">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5.75" customHeight="1" spans="1:26">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5.75" customHeight="1" spans="1: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5.75" customHeight="1" spans="1:26">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5.75" customHeight="1" spans="1:26">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5.75" customHeight="1" spans="1:26">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5.75" customHeight="1" spans="1:26">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5.75" customHeight="1" spans="1:26">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5.75" customHeight="1" spans="1:26">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5.75" customHeight="1" spans="1:26">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5.75" customHeight="1" spans="1:26">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5.75" customHeight="1" spans="1:26">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5.75" customHeight="1" spans="1:2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5.75" customHeight="1" spans="1:26">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5.75" customHeight="1" spans="1:26">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5.75" customHeight="1" spans="1:26">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5.75" customHeight="1" spans="1:26">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5.75" customHeight="1" spans="1:26">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5.75" customHeight="1" spans="1:26">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5.75" customHeight="1" spans="1:26">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5.75" customHeight="1" spans="1:26">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5.75" customHeight="1" spans="1:26">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5.75" customHeight="1" spans="1:2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5.75" customHeight="1" spans="1:26">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5.75" customHeight="1" spans="1:26">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5.75" customHeight="1" spans="1:26">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5.75" customHeight="1" spans="1:26">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5.75" customHeight="1" spans="1:26">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5.75" customHeight="1" spans="1:26">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5.75" customHeight="1" spans="1:26">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5.75" customHeight="1" spans="1:26">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5.75" customHeight="1" spans="1:26">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5.75" customHeight="1" spans="1:2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5.75" customHeight="1" spans="1:26">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5.75" customHeight="1" spans="1:26">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5.75" customHeight="1" spans="1:26">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5.75" customHeight="1" spans="1:26">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5.75" customHeight="1" spans="1:26">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5.75" customHeight="1" spans="1:26">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5.75" customHeight="1" spans="1:26">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5.75" customHeight="1" spans="1:26">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5.75" customHeight="1" spans="1:26">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5.75" customHeight="1" spans="1:2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5.75" customHeight="1" spans="1:26">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5.75" customHeight="1" spans="1:26">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5.75" customHeight="1" spans="1:26">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5.75" customHeight="1" spans="1:26">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5.75" customHeight="1" spans="1:26">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5.75" customHeight="1" spans="1:26">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5.75" customHeight="1" spans="1:26">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5.75" customHeight="1" spans="1:26">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5.75" customHeight="1" spans="1:26">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5.75" customHeight="1" spans="1:2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5.75" customHeight="1" spans="1:26">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5.75" customHeight="1" spans="1:26">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5.75" customHeight="1" spans="1:26">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5.75" customHeight="1" spans="1:26">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5.75" customHeight="1" spans="1:26">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5.75" customHeight="1" spans="1:26">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5.75" customHeight="1" spans="1:26">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5.75" customHeight="1" spans="1:26">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5.75" customHeight="1" spans="1:26">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5.75" customHeight="1" spans="1:2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5.75" customHeight="1" spans="1:26">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5.75" customHeight="1" spans="1:26">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5.75" customHeight="1" spans="1:26">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5.75" customHeight="1" spans="1:26">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5.75" customHeight="1" spans="1:26">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5.75" customHeight="1" spans="1:26">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5.75" customHeight="1" spans="1:26">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5.75" customHeight="1" spans="1:26">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5.75" customHeight="1" spans="1:26">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5.75" customHeight="1" spans="1:2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5.75" customHeight="1" spans="1:26">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5.75" customHeight="1" spans="1:26">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5.75" customHeight="1" spans="1:26">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5.75" customHeight="1" spans="1:26">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5.75" customHeight="1" spans="1:26">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5.75" customHeight="1" spans="1:26">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5.75" customHeight="1" spans="1:26">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5.75" customHeight="1" spans="1:26">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5.75" customHeight="1" spans="1:26">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5.75" customHeight="1" spans="1:2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5.75" customHeight="1" spans="1:26">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5.75" customHeight="1" spans="1:26">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5.75" customHeight="1" spans="1:26">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5.75" customHeight="1" spans="1:26">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5.75" customHeight="1" spans="1:26">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5.75" customHeight="1" spans="1:26">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5.75" customHeight="1" spans="1:26">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5.75" customHeight="1" spans="1:26">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5.75" customHeight="1" spans="1:26">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5.75" customHeight="1" spans="1:2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5.75" customHeight="1" spans="1:26">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5.75" customHeight="1" spans="1:26">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5.75" customHeight="1" spans="1:26">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5.75" customHeight="1" spans="1:26">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5.75" customHeight="1" spans="1:26">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5.75" customHeight="1" spans="1:26">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5.75" customHeight="1" spans="1:26">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5.75" customHeight="1" spans="1:26">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5.75" customHeight="1" spans="1:26">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5.75" customHeight="1" spans="1: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5.75" customHeight="1" spans="1:26">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5.75" customHeight="1" spans="1:26">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5.75" customHeight="1" spans="1:26">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5.75" customHeight="1" spans="1:26">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5.75" customHeight="1" spans="1:26">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5.75" customHeight="1" spans="1:26">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5.75" customHeight="1" spans="1:26">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5.75" customHeight="1" spans="1:26">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5.75" customHeight="1" spans="1:26">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5.75" customHeight="1" spans="1:2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5.75" customHeight="1" spans="1:26">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5.75" customHeight="1" spans="1:26">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5.75" customHeight="1" spans="1:26">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5.75" customHeight="1" spans="1:26">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5.75" customHeight="1" spans="1:26">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5.75" customHeight="1" spans="1:26">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5.75" customHeight="1" spans="1:26">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5.75" customHeight="1" spans="1:26">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5.75" customHeight="1" spans="1:26">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5.75" customHeight="1" spans="1:2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5.75" customHeight="1" spans="1:26">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5.75" customHeight="1" spans="1:26">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5.75" customHeight="1" spans="1:26">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5.75" customHeight="1" spans="1:26">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5.75" customHeight="1" spans="1:26">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5.75" customHeight="1" spans="1:26">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5.75" customHeight="1" spans="1:26">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5.75" customHeight="1" spans="1:26">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5.75" customHeight="1" spans="1:26">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5.75" customHeight="1" spans="1:2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5.75" customHeight="1" spans="1:26">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5.75" customHeight="1" spans="1:26">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5.75" customHeight="1" spans="1:26">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5.75" customHeight="1" spans="1:26">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5.75" customHeight="1" spans="1:26">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5.75" customHeight="1" spans="1:26">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5.75" customHeight="1" spans="1:26">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5.75" customHeight="1" spans="1:26">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5.75" customHeight="1" spans="1:26">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5.75" customHeight="1" spans="1:2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5.75" customHeight="1" spans="1:26">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5.75" customHeight="1" spans="1:26">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5.75" customHeight="1" spans="1:26">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5.75" customHeight="1" spans="1:26">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5.75" customHeight="1" spans="1:26">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5.75" customHeight="1" spans="1:26">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5.75" customHeight="1" spans="1:26">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5.75" customHeight="1" spans="1:26">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5.75" customHeight="1" spans="1:26">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5.75" customHeight="1" spans="1:2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5.75" customHeight="1" spans="1:26">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5.75" customHeight="1" spans="1:26">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5.75" customHeight="1" spans="1:26">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5.75" customHeight="1" spans="1:26">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5.75" customHeight="1" spans="1:26">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5.75" customHeight="1" spans="1:26">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5.75" customHeight="1" spans="1:26">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5.75" customHeight="1" spans="1:26">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5.75" customHeight="1" spans="1:26">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5.75" customHeight="1" spans="1:2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5.75" customHeight="1" spans="1:26">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5.75" customHeight="1" spans="1:26">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5.75" customHeight="1" spans="1:26">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5.75" customHeight="1" spans="1:26">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5.75" customHeight="1" spans="1:26">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5.75" customHeight="1" spans="1:26">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5.75" customHeight="1" spans="1:26">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5.75" customHeight="1" spans="1:26">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5.75" customHeight="1" spans="1:26">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5.75" customHeight="1" spans="1:2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5.75" customHeight="1" spans="1:26">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5.75" customHeight="1" spans="1:26">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5.75" customHeight="1" spans="1:26">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5.75" customHeight="1" spans="1:26">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5.75" customHeight="1" spans="1:26">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5.75" customHeight="1" spans="1:26">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5.75" customHeight="1" spans="1:26">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5.75" customHeight="1" spans="1:26">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5.75" customHeight="1" spans="1:26">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5.75" customHeight="1" spans="1:2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5.75" customHeight="1" spans="1:26">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5.75" customHeight="1" spans="1:26">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5.75" customHeight="1" spans="1:26">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5.75" customHeight="1" spans="1:26">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5.75" customHeight="1" spans="1:26">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5.75" customHeight="1" spans="1:26">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5.75" customHeight="1" spans="1:26">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5.75" customHeight="1" spans="1:26">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5.75" customHeight="1" spans="1:26">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5.75" customHeight="1" spans="1:2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5.75" customHeight="1" spans="1:26">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5.75" customHeight="1" spans="1:26">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5.75" customHeight="1" spans="1:26">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5.75" customHeight="1" spans="1:26">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5.75" customHeight="1" spans="1:26">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5.75" customHeight="1" spans="1:26">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5.75" customHeight="1" spans="1:26">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5.75" customHeight="1" spans="1:26">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5.75" customHeight="1" spans="1:26">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5.75" customHeight="1" spans="1: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5.75" customHeight="1" spans="1:26">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5.75" customHeight="1" spans="1:26">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5.75" customHeight="1" spans="1:26">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5.75" customHeight="1" spans="1:26">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5.75" customHeight="1" spans="1:26">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5.75" customHeight="1" spans="1:26">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5.75" customHeight="1" spans="1:26">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5.75" customHeight="1" spans="1:26">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5.75" customHeight="1" spans="1:26">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5.75" customHeight="1" spans="1:2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5.75" customHeight="1" spans="1:26">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5.75" customHeight="1" spans="1:26">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5.75" customHeight="1" spans="1:26">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5.75" customHeight="1" spans="1:26">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5.75" customHeight="1" spans="1:26">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5.75" customHeight="1" spans="1:26">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5.75" customHeight="1" spans="1:26">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5.75" customHeight="1" spans="1:26">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5.75" customHeight="1" spans="1:26">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5.75" customHeight="1" spans="1:2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5.75" customHeight="1" spans="1:26">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5.75" customHeight="1" spans="1:26">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5.75" customHeight="1" spans="1:26">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5.75" customHeight="1" spans="1:26">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5.75" customHeight="1" spans="1:26">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5.75" customHeight="1" spans="1:26">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5.75" customHeight="1" spans="1:26">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5.75" customHeight="1" spans="1:26">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5.75" customHeight="1" spans="1:26">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5.75" customHeight="1" spans="1:2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5.75" customHeight="1" spans="1:26">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5.75" customHeight="1" spans="1:26">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5.75" customHeight="1" spans="1:26">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5.75" customHeight="1" spans="1:26">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5.75" customHeight="1" spans="1:26">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5.75" customHeight="1" spans="1:26">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5.75" customHeight="1" spans="1:26">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5.75" customHeight="1" spans="1:26">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5.75" customHeight="1" spans="1:26">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5.75" customHeight="1" spans="1:2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5.75" customHeight="1" spans="1:26">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5.75" customHeight="1" spans="1:26">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5.75" customHeight="1" spans="1:26">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5.75" customHeight="1" spans="1:26">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5.75" customHeight="1" spans="1:26">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5.75" customHeight="1" spans="1:26">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5.75" customHeight="1" spans="1:26">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5.75" customHeight="1" spans="1:26">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5.75" customHeight="1" spans="1:26">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5.75" customHeight="1" spans="1:2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5.75" customHeight="1" spans="1:26">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5.75" customHeight="1" spans="1:26">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5.75" customHeight="1" spans="1:26">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5.75" customHeight="1" spans="1:26">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5.75" customHeight="1" spans="1:26">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5.75" customHeight="1" spans="1:26">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5.75" customHeight="1" spans="1:26">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5.75" customHeight="1" spans="1:26">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5.75" customHeight="1" spans="1:26">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5.75" customHeight="1" spans="1:2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5.75" customHeight="1" spans="1:26">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5.75" customHeight="1" spans="1:26">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5.75" customHeight="1" spans="1:26">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5.75" customHeight="1" spans="1:26">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5.75" customHeight="1" spans="1:26">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5.75" customHeight="1" spans="1:26">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5.75" customHeight="1" spans="1:26">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5.75" customHeight="1" spans="1:26">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5.75" customHeight="1" spans="1:26">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5.75" customHeight="1" spans="1:2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5.75" customHeight="1" spans="1:26">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5.75" customHeight="1" spans="1:26">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5.75" customHeight="1" spans="1:26">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5.75" customHeight="1" spans="1:26">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5.75" customHeight="1" spans="1:26">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5.75" customHeight="1" spans="1:26">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5.75" customHeight="1" spans="1:26">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5.75" customHeight="1" spans="1:26">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5.75" customHeight="1" spans="1:26">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5.75" customHeight="1" spans="1:2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5.75" customHeight="1" spans="1:26">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5.75" customHeight="1" spans="1:26">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5.75" customHeight="1" spans="1:26">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5.75" customHeight="1" spans="1:26">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5.75" customHeight="1" spans="1:26">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5.75" customHeight="1" spans="1:26">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5.75" customHeight="1" spans="1:26">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5.75" customHeight="1" spans="1:26">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5.75" customHeight="1" spans="1:26">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5.75" customHeight="1" spans="1:2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5.75" customHeight="1" spans="1:26">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5.75" customHeight="1" spans="1:26">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5.75" customHeight="1" spans="1:26">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5.75" customHeight="1" spans="1:26">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5.75" customHeight="1" spans="1:26">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5.75" customHeight="1" spans="1:26">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5.75" customHeight="1" spans="1:26">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5.75" customHeight="1" spans="1:26">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5.75" customHeight="1" spans="1:26">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5.75" customHeight="1" spans="1: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5.75" customHeight="1" spans="1:26">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5.75" customHeight="1" spans="1:26">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5.75" customHeight="1" spans="1:26">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5.75" customHeight="1" spans="1:26">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5.75" customHeight="1" spans="1:26">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5.75" customHeight="1" spans="1:26">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5.75" customHeight="1" spans="1:26">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5.75" customHeight="1" spans="1:26">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5.75" customHeight="1" spans="1:26">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5.75" customHeight="1" spans="1:2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5.75" customHeight="1" spans="1:26">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5.75" customHeight="1" spans="1:26">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5.75" customHeight="1" spans="1:26">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5.75" customHeight="1" spans="1:26">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5.75" customHeight="1" spans="1:26">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5.75" customHeight="1" spans="1:26">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5.75" customHeight="1" spans="1:26">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5.75" customHeight="1" spans="1:26">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5.75" customHeight="1" spans="1:26">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5.75" customHeight="1" spans="1:2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5.75" customHeight="1" spans="1:26">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5.75" customHeight="1" spans="1:26">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5.75" customHeight="1" spans="1:26">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5.75" customHeight="1" spans="1:26">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5.75" customHeight="1" spans="1:26">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5.75" customHeight="1" spans="1:26">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5.75" customHeight="1" spans="1:26">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5.75" customHeight="1" spans="1:26">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5.75" customHeight="1" spans="1:26">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5.75" customHeight="1" spans="1:2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5.75" customHeight="1" spans="1:26">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5.75" customHeight="1" spans="1:26">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5.75" customHeight="1" spans="1:26">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5.75" customHeight="1" spans="1:26">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5.75" customHeight="1" spans="1:26">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5.75" customHeight="1" spans="1:26">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5.75" customHeight="1" spans="1:26">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5.75" customHeight="1" spans="1:26">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5.75" customHeight="1" spans="1:26">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5.75" customHeight="1" spans="1:2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5.75" customHeight="1" spans="1:26">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5.75" customHeight="1" spans="1:26">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5.75" customHeight="1" spans="1:26">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5.75" customHeight="1" spans="1:26">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5.75" customHeight="1" spans="1:26">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5.75" customHeight="1" spans="1:26">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5.75" customHeight="1" spans="1:26">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5.75" customHeight="1" spans="1:26">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5.75" customHeight="1" spans="1:26">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5.75" customHeight="1" spans="1:2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5.75" customHeight="1" spans="1:26">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5.75" customHeight="1" spans="1:26">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5.75" customHeight="1" spans="1:26">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5.75" customHeight="1" spans="1:26">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5.75" customHeight="1" spans="1:26">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5.75" customHeight="1" spans="1:26">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5.75" customHeight="1" spans="1:26">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5.75" customHeight="1" spans="1:26">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5.75" customHeight="1" spans="1:26">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5.75" customHeight="1" spans="1:2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5.75" customHeight="1" spans="1:26">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5.75" customHeight="1" spans="1:26">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5.75" customHeight="1" spans="1:26">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5.75" customHeight="1" spans="1:26">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5.75" customHeight="1" spans="1:26">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5.75" customHeight="1" spans="1:26">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5.75" customHeight="1" spans="1:26">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5.75" customHeight="1" spans="1:26">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5.75" customHeight="1" spans="1:26">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5.75" customHeight="1" spans="1:2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5.75" customHeight="1" spans="1:26">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5.75" customHeight="1" spans="1:26">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5.75" customHeight="1" spans="1:26">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5.75" customHeight="1" spans="1:26">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5.75" customHeight="1" spans="1:26">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5.75" customHeight="1" spans="1:26">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5.75" customHeight="1" spans="1:26">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5.75" customHeight="1" spans="1:26">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5.75" customHeight="1" spans="1:26">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5.75" customHeight="1" spans="1:2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5.75" customHeight="1" spans="1:26">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5.75" customHeight="1" spans="1:26">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5.75" customHeight="1" spans="1:26">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5.75" customHeight="1" spans="1:26">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5.75" customHeight="1" spans="1:26">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5.75" customHeight="1" spans="1:26">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5.75" customHeight="1" spans="1:26">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5.75" customHeight="1" spans="1:26">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5.75" customHeight="1" spans="1:26">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5.75" customHeight="1" spans="1:2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5.75" customHeight="1" spans="1:26">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5.75" customHeight="1" spans="1:26">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5.75" customHeight="1" spans="1:26">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5.75" customHeight="1" spans="1:26">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5.75" customHeight="1" spans="1:26">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5.75" customHeight="1" spans="1:26">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5.75" customHeight="1" spans="1:26">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5.75" customHeight="1" spans="1:26">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O4" sqref="O4"/>
    </sheetView>
  </sheetViews>
  <sheetFormatPr defaultColWidth="14.4259259259259" defaultRowHeight="15" customHeight="1"/>
  <cols>
    <col min="1" max="1" width="12.4259259259259" customWidth="1"/>
    <col min="2" max="2" width="16.5740740740741" customWidth="1"/>
    <col min="3" max="3" width="7.28703703703704" customWidth="1"/>
    <col min="4" max="4" width="16.712962962963" customWidth="1"/>
    <col min="5" max="5" width="8" customWidth="1"/>
    <col min="6" max="6" width="8.86111111111111" customWidth="1"/>
    <col min="7" max="7" width="8.71296296296296" style="29" customWidth="1"/>
    <col min="8" max="8" width="11.287037037037" customWidth="1"/>
    <col min="9" max="9" width="7" customWidth="1"/>
    <col min="10" max="10" width="14.5555555555556" customWidth="1"/>
    <col min="11" max="11" width="15.5555555555556" customWidth="1"/>
    <col min="12" max="12" width="23.4444444444444" customWidth="1"/>
    <col min="13" max="26" width="8.71296296296296" customWidth="1"/>
  </cols>
  <sheetData>
    <row r="1" ht="21" spans="1:26">
      <c r="A1" s="30" t="s">
        <v>2</v>
      </c>
      <c r="B1" s="30" t="s">
        <v>3</v>
      </c>
      <c r="C1" s="30" t="s">
        <v>4</v>
      </c>
      <c r="D1" s="30" t="s">
        <v>5</v>
      </c>
      <c r="E1" s="30" t="s">
        <v>6</v>
      </c>
      <c r="F1" s="30" t="s">
        <v>7</v>
      </c>
      <c r="G1" s="31" t="s">
        <v>8</v>
      </c>
      <c r="H1" s="30" t="s">
        <v>9</v>
      </c>
      <c r="I1" s="30" t="s">
        <v>10</v>
      </c>
      <c r="J1" s="33" t="s">
        <v>11</v>
      </c>
      <c r="K1" s="34" t="s">
        <v>12</v>
      </c>
      <c r="L1" s="35" t="s">
        <v>13</v>
      </c>
      <c r="M1" s="36"/>
      <c r="N1" s="36"/>
      <c r="O1" s="4" t="s">
        <v>14</v>
      </c>
      <c r="P1" s="36"/>
      <c r="Q1" s="36"/>
      <c r="R1" s="36"/>
      <c r="S1" s="36"/>
      <c r="T1" s="36"/>
      <c r="U1" s="36"/>
      <c r="V1" s="36"/>
      <c r="W1" s="36"/>
      <c r="X1" s="36"/>
      <c r="Y1" s="36"/>
      <c r="Z1" s="36"/>
    </row>
    <row r="2" ht="14.4" spans="1:12">
      <c r="A2" t="s">
        <v>15</v>
      </c>
      <c r="B2" t="s">
        <v>16</v>
      </c>
      <c r="C2" t="s">
        <v>17</v>
      </c>
      <c r="D2" t="s">
        <v>18</v>
      </c>
      <c r="E2">
        <v>1036.09</v>
      </c>
      <c r="F2">
        <v>4</v>
      </c>
      <c r="G2" s="29">
        <v>0.2</v>
      </c>
      <c r="H2" s="32">
        <v>45392</v>
      </c>
      <c r="I2">
        <v>331.55</v>
      </c>
      <c r="J2">
        <f>SUMIFS($E:$E,$B:$B,B2)</f>
        <v>6255.7</v>
      </c>
      <c r="K2">
        <f>E2*(1-G2)</f>
        <v>828.872</v>
      </c>
      <c r="L2" s="37">
        <f ca="1">NOW()</f>
        <v>46011.0207175926</v>
      </c>
    </row>
    <row r="3" spans="1:12">
      <c r="A3" t="s">
        <v>19</v>
      </c>
      <c r="B3" t="s">
        <v>20</v>
      </c>
      <c r="C3" t="s">
        <v>17</v>
      </c>
      <c r="D3" t="s">
        <v>21</v>
      </c>
      <c r="E3">
        <v>1101.28</v>
      </c>
      <c r="F3">
        <v>3</v>
      </c>
      <c r="G3" s="29">
        <v>0.2</v>
      </c>
      <c r="H3" s="32">
        <v>45393</v>
      </c>
      <c r="I3">
        <v>440.51</v>
      </c>
      <c r="J3">
        <f t="shared" ref="J3:J34" si="0">SUMIFS($E:$E,$B:$B,B3)</f>
        <v>8331.85</v>
      </c>
      <c r="K3">
        <f t="shared" ref="K3:K34" si="1">E3*(1-G3)</f>
        <v>881.024</v>
      </c>
      <c r="L3" s="37">
        <f ca="1" t="shared" ref="L3:L12" si="2">NOW()</f>
        <v>46011.0207175926</v>
      </c>
    </row>
    <row r="4" spans="1:12">
      <c r="A4" t="s">
        <v>22</v>
      </c>
      <c r="B4" t="s">
        <v>23</v>
      </c>
      <c r="C4" t="s">
        <v>24</v>
      </c>
      <c r="D4" t="s">
        <v>18</v>
      </c>
      <c r="E4">
        <v>713.34</v>
      </c>
      <c r="F4">
        <v>17</v>
      </c>
      <c r="G4" s="29">
        <v>0</v>
      </c>
      <c r="H4" s="32">
        <v>45396</v>
      </c>
      <c r="I4">
        <v>285.34</v>
      </c>
      <c r="J4">
        <f t="shared" si="0"/>
        <v>5615.28</v>
      </c>
      <c r="K4">
        <f t="shared" si="1"/>
        <v>713.34</v>
      </c>
      <c r="L4" s="37">
        <f ca="1" t="shared" si="2"/>
        <v>46011.0207175926</v>
      </c>
    </row>
    <row r="5" spans="1:12">
      <c r="A5" t="s">
        <v>25</v>
      </c>
      <c r="B5" t="s">
        <v>20</v>
      </c>
      <c r="C5" t="s">
        <v>26</v>
      </c>
      <c r="D5" t="s">
        <v>27</v>
      </c>
      <c r="E5">
        <v>760.93</v>
      </c>
      <c r="F5">
        <v>4</v>
      </c>
      <c r="G5" s="29">
        <v>0.15</v>
      </c>
      <c r="H5" s="32">
        <v>45396</v>
      </c>
      <c r="I5">
        <v>161.7</v>
      </c>
      <c r="J5">
        <f t="shared" si="0"/>
        <v>8331.85</v>
      </c>
      <c r="K5">
        <f t="shared" si="1"/>
        <v>646.7905</v>
      </c>
      <c r="L5" s="37">
        <f ca="1" t="shared" si="2"/>
        <v>46011.0207175926</v>
      </c>
    </row>
    <row r="6" spans="1:12">
      <c r="A6" t="s">
        <v>28</v>
      </c>
      <c r="B6" t="s">
        <v>29</v>
      </c>
      <c r="C6" t="s">
        <v>30</v>
      </c>
      <c r="D6" t="s">
        <v>18</v>
      </c>
      <c r="E6">
        <v>847</v>
      </c>
      <c r="F6">
        <v>12</v>
      </c>
      <c r="G6" s="29">
        <v>0.2</v>
      </c>
      <c r="H6" s="32">
        <v>45397</v>
      </c>
      <c r="I6">
        <v>271.04</v>
      </c>
      <c r="J6">
        <f t="shared" si="0"/>
        <v>20774.74</v>
      </c>
      <c r="K6">
        <f t="shared" si="1"/>
        <v>677.6</v>
      </c>
      <c r="L6" s="37">
        <f ca="1" t="shared" si="2"/>
        <v>46011.0207175926</v>
      </c>
    </row>
    <row r="7" spans="1:12">
      <c r="A7" t="s">
        <v>31</v>
      </c>
      <c r="B7" t="s">
        <v>32</v>
      </c>
      <c r="C7" t="s">
        <v>30</v>
      </c>
      <c r="D7" t="s">
        <v>33</v>
      </c>
      <c r="E7">
        <v>965.64</v>
      </c>
      <c r="F7">
        <v>8</v>
      </c>
      <c r="G7" s="29">
        <v>0.1</v>
      </c>
      <c r="H7" s="32">
        <v>45398</v>
      </c>
      <c r="I7">
        <v>304.18</v>
      </c>
      <c r="J7">
        <f t="shared" si="0"/>
        <v>7881.9</v>
      </c>
      <c r="K7">
        <f t="shared" si="1"/>
        <v>869.076</v>
      </c>
      <c r="L7" s="37">
        <f ca="1" t="shared" si="2"/>
        <v>46011.0207175926</v>
      </c>
    </row>
    <row r="8" spans="1:12">
      <c r="A8" t="s">
        <v>34</v>
      </c>
      <c r="B8" t="s">
        <v>35</v>
      </c>
      <c r="C8" t="s">
        <v>17</v>
      </c>
      <c r="D8" t="s">
        <v>27</v>
      </c>
      <c r="E8">
        <v>1317.53</v>
      </c>
      <c r="F8">
        <v>12</v>
      </c>
      <c r="G8" s="29">
        <v>0.05</v>
      </c>
      <c r="H8" s="32">
        <v>45398</v>
      </c>
      <c r="I8">
        <v>312.91</v>
      </c>
      <c r="J8">
        <f t="shared" si="0"/>
        <v>9970.2</v>
      </c>
      <c r="K8">
        <f t="shared" si="1"/>
        <v>1251.6535</v>
      </c>
      <c r="L8" s="37">
        <f ca="1" t="shared" si="2"/>
        <v>46011.0207175926</v>
      </c>
    </row>
    <row r="9" spans="1:12">
      <c r="A9" t="s">
        <v>36</v>
      </c>
      <c r="B9" t="s">
        <v>37</v>
      </c>
      <c r="C9" t="s">
        <v>24</v>
      </c>
      <c r="D9" t="s">
        <v>33</v>
      </c>
      <c r="E9">
        <v>1074.47</v>
      </c>
      <c r="F9">
        <v>6</v>
      </c>
      <c r="G9" s="29">
        <v>0.2</v>
      </c>
      <c r="H9" s="32">
        <v>45401</v>
      </c>
      <c r="I9">
        <v>300.85</v>
      </c>
      <c r="J9">
        <f t="shared" si="0"/>
        <v>17143.29</v>
      </c>
      <c r="K9">
        <f t="shared" si="1"/>
        <v>859.576</v>
      </c>
      <c r="L9" s="37">
        <f ca="1" t="shared" si="2"/>
        <v>46011.0207175926</v>
      </c>
    </row>
    <row r="10" spans="1:12">
      <c r="A10" t="s">
        <v>38</v>
      </c>
      <c r="B10" t="s">
        <v>39</v>
      </c>
      <c r="C10" t="s">
        <v>40</v>
      </c>
      <c r="D10" t="s">
        <v>18</v>
      </c>
      <c r="E10">
        <v>501.54</v>
      </c>
      <c r="F10">
        <v>11</v>
      </c>
      <c r="G10" s="29">
        <v>0.05</v>
      </c>
      <c r="H10" s="32">
        <v>45401</v>
      </c>
      <c r="I10">
        <v>190.59</v>
      </c>
      <c r="J10">
        <f t="shared" si="0"/>
        <v>3968.59</v>
      </c>
      <c r="K10">
        <f t="shared" si="1"/>
        <v>476.463</v>
      </c>
      <c r="L10" s="37">
        <f ca="1" t="shared" si="2"/>
        <v>46011.0207175926</v>
      </c>
    </row>
    <row r="11" spans="1:12">
      <c r="A11" t="s">
        <v>41</v>
      </c>
      <c r="B11" t="s">
        <v>42</v>
      </c>
      <c r="C11" t="s">
        <v>40</v>
      </c>
      <c r="D11" t="s">
        <v>21</v>
      </c>
      <c r="E11">
        <v>737.31</v>
      </c>
      <c r="F11">
        <v>2</v>
      </c>
      <c r="G11" s="29">
        <v>0.05</v>
      </c>
      <c r="H11" s="32">
        <v>45401</v>
      </c>
      <c r="I11">
        <v>350.22</v>
      </c>
      <c r="J11">
        <f t="shared" si="0"/>
        <v>7020.38</v>
      </c>
      <c r="K11">
        <f t="shared" si="1"/>
        <v>700.4445</v>
      </c>
      <c r="L11" s="37">
        <f ca="1" t="shared" si="2"/>
        <v>46011.0207175926</v>
      </c>
    </row>
    <row r="12" spans="1:12">
      <c r="A12" t="s">
        <v>43</v>
      </c>
      <c r="B12" t="s">
        <v>44</v>
      </c>
      <c r="C12" t="s">
        <v>17</v>
      </c>
      <c r="D12" t="s">
        <v>45</v>
      </c>
      <c r="E12">
        <v>1572.82</v>
      </c>
      <c r="F12">
        <v>6</v>
      </c>
      <c r="G12" s="29">
        <v>0.05</v>
      </c>
      <c r="H12" s="32">
        <v>45402</v>
      </c>
      <c r="I12">
        <v>672.38</v>
      </c>
      <c r="J12">
        <f t="shared" si="0"/>
        <v>11398.32</v>
      </c>
      <c r="K12">
        <f t="shared" si="1"/>
        <v>1494.179</v>
      </c>
      <c r="L12" s="37">
        <f ca="1" t="shared" si="2"/>
        <v>46011.0207175926</v>
      </c>
    </row>
    <row r="13" spans="1:12">
      <c r="A13" t="s">
        <v>43</v>
      </c>
      <c r="B13" t="s">
        <v>42</v>
      </c>
      <c r="C13" t="s">
        <v>40</v>
      </c>
      <c r="D13" t="s">
        <v>18</v>
      </c>
      <c r="E13">
        <v>1343.13</v>
      </c>
      <c r="F13">
        <v>14</v>
      </c>
      <c r="G13" s="29">
        <v>0.15</v>
      </c>
      <c r="H13" s="32">
        <v>45404</v>
      </c>
      <c r="I13">
        <v>456.66</v>
      </c>
      <c r="J13">
        <f t="shared" si="0"/>
        <v>7020.38</v>
      </c>
      <c r="K13">
        <f t="shared" si="1"/>
        <v>1141.6605</v>
      </c>
      <c r="L13" s="37">
        <f ca="1" t="shared" ref="L13:L22" si="3">NOW()</f>
        <v>46011.0207175926</v>
      </c>
    </row>
    <row r="14" spans="1:12">
      <c r="A14" t="s">
        <v>31</v>
      </c>
      <c r="B14" t="s">
        <v>32</v>
      </c>
      <c r="C14" t="s">
        <v>40</v>
      </c>
      <c r="D14" t="s">
        <v>18</v>
      </c>
      <c r="E14">
        <v>1191.58</v>
      </c>
      <c r="F14">
        <v>14</v>
      </c>
      <c r="G14" s="29">
        <v>0.05</v>
      </c>
      <c r="H14" s="32">
        <v>45406</v>
      </c>
      <c r="I14">
        <v>452.8</v>
      </c>
      <c r="J14">
        <f t="shared" si="0"/>
        <v>7881.9</v>
      </c>
      <c r="K14">
        <f t="shared" si="1"/>
        <v>1132.001</v>
      </c>
      <c r="L14" s="37">
        <f ca="1" t="shared" si="3"/>
        <v>46011.0207175926</v>
      </c>
    </row>
    <row r="15" spans="1:12">
      <c r="A15" t="s">
        <v>46</v>
      </c>
      <c r="B15" t="s">
        <v>20</v>
      </c>
      <c r="C15" t="s">
        <v>17</v>
      </c>
      <c r="D15" t="s">
        <v>33</v>
      </c>
      <c r="E15">
        <v>822.28</v>
      </c>
      <c r="F15">
        <v>7</v>
      </c>
      <c r="G15" s="29">
        <v>0.05</v>
      </c>
      <c r="H15" s="32">
        <v>45406</v>
      </c>
      <c r="I15">
        <v>273.41</v>
      </c>
      <c r="J15">
        <f t="shared" si="0"/>
        <v>8331.85</v>
      </c>
      <c r="K15">
        <f t="shared" si="1"/>
        <v>781.166</v>
      </c>
      <c r="L15" s="37">
        <f ca="1" t="shared" si="3"/>
        <v>46011.0207175926</v>
      </c>
    </row>
    <row r="16" spans="1:12">
      <c r="A16" t="s">
        <v>47</v>
      </c>
      <c r="B16" t="s">
        <v>48</v>
      </c>
      <c r="C16" t="s">
        <v>30</v>
      </c>
      <c r="D16" t="s">
        <v>33</v>
      </c>
      <c r="E16">
        <v>521.67</v>
      </c>
      <c r="F16">
        <v>15</v>
      </c>
      <c r="G16" s="29">
        <v>0.15</v>
      </c>
      <c r="H16" s="32">
        <v>45409</v>
      </c>
      <c r="I16">
        <v>155.2</v>
      </c>
      <c r="J16">
        <f t="shared" si="0"/>
        <v>1672.88</v>
      </c>
      <c r="K16">
        <f t="shared" si="1"/>
        <v>443.4195</v>
      </c>
      <c r="L16" s="37">
        <f ca="1" t="shared" si="3"/>
        <v>46011.0207175926</v>
      </c>
    </row>
    <row r="17" spans="1:12">
      <c r="A17" t="s">
        <v>25</v>
      </c>
      <c r="B17" t="s">
        <v>49</v>
      </c>
      <c r="C17" t="s">
        <v>26</v>
      </c>
      <c r="D17" t="s">
        <v>27</v>
      </c>
      <c r="E17">
        <v>1502.93</v>
      </c>
      <c r="F17">
        <v>14</v>
      </c>
      <c r="G17" s="29">
        <v>0.2</v>
      </c>
      <c r="H17" s="32">
        <v>45410</v>
      </c>
      <c r="I17">
        <v>300.59</v>
      </c>
      <c r="J17">
        <f t="shared" si="0"/>
        <v>7296.19</v>
      </c>
      <c r="K17">
        <f t="shared" si="1"/>
        <v>1202.344</v>
      </c>
      <c r="L17" s="37">
        <f ca="1" t="shared" si="3"/>
        <v>46011.0207175926</v>
      </c>
    </row>
    <row r="18" spans="1:12">
      <c r="A18" t="s">
        <v>50</v>
      </c>
      <c r="B18" t="s">
        <v>20</v>
      </c>
      <c r="C18" t="s">
        <v>26</v>
      </c>
      <c r="D18" t="s">
        <v>18</v>
      </c>
      <c r="E18">
        <v>877.58</v>
      </c>
      <c r="F18">
        <v>10</v>
      </c>
      <c r="G18" s="29">
        <v>0.15</v>
      </c>
      <c r="H18" s="32">
        <v>45411</v>
      </c>
      <c r="I18">
        <v>298.38</v>
      </c>
      <c r="J18">
        <f t="shared" si="0"/>
        <v>8331.85</v>
      </c>
      <c r="K18">
        <f t="shared" si="1"/>
        <v>745.943</v>
      </c>
      <c r="L18" s="37">
        <f ca="1" t="shared" si="3"/>
        <v>46011.0207175926</v>
      </c>
    </row>
    <row r="19" spans="1:12">
      <c r="A19" t="s">
        <v>34</v>
      </c>
      <c r="B19" t="s">
        <v>51</v>
      </c>
      <c r="C19" t="s">
        <v>17</v>
      </c>
      <c r="D19" t="s">
        <v>18</v>
      </c>
      <c r="E19">
        <v>636.7</v>
      </c>
      <c r="F19">
        <v>4</v>
      </c>
      <c r="G19" s="29">
        <v>0.2</v>
      </c>
      <c r="H19" s="32">
        <v>45411</v>
      </c>
      <c r="I19">
        <v>203.74</v>
      </c>
      <c r="J19">
        <f t="shared" si="0"/>
        <v>8635.95</v>
      </c>
      <c r="K19">
        <f t="shared" si="1"/>
        <v>509.36</v>
      </c>
      <c r="L19" s="37">
        <f ca="1" t="shared" si="3"/>
        <v>46011.0207175926</v>
      </c>
    </row>
    <row r="20" spans="1:12">
      <c r="A20" t="s">
        <v>52</v>
      </c>
      <c r="B20" t="s">
        <v>53</v>
      </c>
      <c r="C20" t="s">
        <v>17</v>
      </c>
      <c r="D20" t="s">
        <v>18</v>
      </c>
      <c r="E20">
        <v>1506.14</v>
      </c>
      <c r="F20">
        <v>13</v>
      </c>
      <c r="G20" s="29">
        <v>0.2</v>
      </c>
      <c r="H20" s="32">
        <v>45412</v>
      </c>
      <c r="I20">
        <v>481.96</v>
      </c>
      <c r="J20">
        <f t="shared" si="0"/>
        <v>7251.18</v>
      </c>
      <c r="K20">
        <f t="shared" si="1"/>
        <v>1204.912</v>
      </c>
      <c r="L20" s="37">
        <f ca="1" t="shared" si="3"/>
        <v>46011.0207175926</v>
      </c>
    </row>
    <row r="21" ht="15.75" customHeight="1" spans="1:12">
      <c r="A21" t="s">
        <v>36</v>
      </c>
      <c r="B21" t="s">
        <v>37</v>
      </c>
      <c r="C21" t="s">
        <v>40</v>
      </c>
      <c r="D21" t="s">
        <v>27</v>
      </c>
      <c r="E21">
        <v>645.02</v>
      </c>
      <c r="F21">
        <v>4</v>
      </c>
      <c r="G21" s="29">
        <v>0</v>
      </c>
      <c r="H21" s="32">
        <v>45414</v>
      </c>
      <c r="I21">
        <v>161.26</v>
      </c>
      <c r="J21">
        <f t="shared" si="0"/>
        <v>17143.29</v>
      </c>
      <c r="K21">
        <f t="shared" si="1"/>
        <v>645.02</v>
      </c>
      <c r="L21" s="37">
        <f ca="1" t="shared" si="3"/>
        <v>46011.0207175926</v>
      </c>
    </row>
    <row r="22" ht="15.75" customHeight="1" spans="1:12">
      <c r="A22" t="s">
        <v>31</v>
      </c>
      <c r="B22" t="s">
        <v>54</v>
      </c>
      <c r="C22" t="s">
        <v>26</v>
      </c>
      <c r="D22" t="s">
        <v>21</v>
      </c>
      <c r="E22">
        <v>953.3</v>
      </c>
      <c r="F22">
        <v>11</v>
      </c>
      <c r="G22" s="29">
        <v>0</v>
      </c>
      <c r="H22" s="32">
        <v>45415</v>
      </c>
      <c r="I22">
        <v>476.65</v>
      </c>
      <c r="J22">
        <f t="shared" si="0"/>
        <v>8090.12</v>
      </c>
      <c r="K22">
        <f t="shared" si="1"/>
        <v>953.3</v>
      </c>
      <c r="L22" s="37">
        <f ca="1" t="shared" si="3"/>
        <v>46011.0207175926</v>
      </c>
    </row>
    <row r="23" ht="15.75" customHeight="1" spans="1:12">
      <c r="A23" t="s">
        <v>55</v>
      </c>
      <c r="B23" t="s">
        <v>20</v>
      </c>
      <c r="C23" t="s">
        <v>30</v>
      </c>
      <c r="D23" t="s">
        <v>27</v>
      </c>
      <c r="E23">
        <v>388.56</v>
      </c>
      <c r="F23">
        <v>14</v>
      </c>
      <c r="G23" s="29">
        <v>0.15</v>
      </c>
      <c r="H23" s="32">
        <v>45416</v>
      </c>
      <c r="I23">
        <v>82.57</v>
      </c>
      <c r="J23">
        <f t="shared" si="0"/>
        <v>8331.85</v>
      </c>
      <c r="K23">
        <f t="shared" si="1"/>
        <v>330.276</v>
      </c>
      <c r="L23" s="37">
        <f ca="1" t="shared" ref="L23:L32" si="4">NOW()</f>
        <v>46011.0207175926</v>
      </c>
    </row>
    <row r="24" ht="15.75" customHeight="1" spans="1:12">
      <c r="A24" t="s">
        <v>15</v>
      </c>
      <c r="B24" t="s">
        <v>37</v>
      </c>
      <c r="C24" t="s">
        <v>17</v>
      </c>
      <c r="D24" t="s">
        <v>18</v>
      </c>
      <c r="E24">
        <v>743.17</v>
      </c>
      <c r="F24">
        <v>9</v>
      </c>
      <c r="G24" s="29">
        <v>0</v>
      </c>
      <c r="H24" s="32">
        <v>45416</v>
      </c>
      <c r="I24">
        <v>297.27</v>
      </c>
      <c r="J24">
        <f t="shared" si="0"/>
        <v>17143.29</v>
      </c>
      <c r="K24">
        <f t="shared" si="1"/>
        <v>743.17</v>
      </c>
      <c r="L24" s="37">
        <f ca="1" t="shared" si="4"/>
        <v>46011.0207175926</v>
      </c>
    </row>
    <row r="25" ht="15.75" customHeight="1" spans="1:12">
      <c r="A25" t="s">
        <v>46</v>
      </c>
      <c r="B25" t="s">
        <v>37</v>
      </c>
      <c r="C25" t="s">
        <v>40</v>
      </c>
      <c r="D25" t="s">
        <v>27</v>
      </c>
      <c r="E25">
        <v>706.37</v>
      </c>
      <c r="F25">
        <v>6</v>
      </c>
      <c r="G25" s="29">
        <v>0</v>
      </c>
      <c r="H25" s="32">
        <v>45416</v>
      </c>
      <c r="I25">
        <v>176.59</v>
      </c>
      <c r="J25">
        <f t="shared" si="0"/>
        <v>17143.29</v>
      </c>
      <c r="K25">
        <f t="shared" si="1"/>
        <v>706.37</v>
      </c>
      <c r="L25" s="37">
        <f ca="1" t="shared" si="4"/>
        <v>46011.0207175926</v>
      </c>
    </row>
    <row r="26" ht="15.75" customHeight="1" spans="1:12">
      <c r="A26" t="s">
        <v>19</v>
      </c>
      <c r="B26" t="s">
        <v>37</v>
      </c>
      <c r="C26" t="s">
        <v>40</v>
      </c>
      <c r="D26" t="s">
        <v>45</v>
      </c>
      <c r="E26">
        <v>925.31</v>
      </c>
      <c r="F26">
        <v>8</v>
      </c>
      <c r="G26" s="29">
        <v>0.1</v>
      </c>
      <c r="H26" s="32">
        <v>45418</v>
      </c>
      <c r="I26">
        <v>374.75</v>
      </c>
      <c r="J26">
        <f t="shared" si="0"/>
        <v>17143.29</v>
      </c>
      <c r="K26">
        <f t="shared" si="1"/>
        <v>832.779</v>
      </c>
      <c r="L26" s="37">
        <f ca="1" t="shared" si="4"/>
        <v>46011.0207175926</v>
      </c>
    </row>
    <row r="27" ht="15.75" customHeight="1" spans="1:12">
      <c r="A27" t="s">
        <v>41</v>
      </c>
      <c r="B27" t="s">
        <v>56</v>
      </c>
      <c r="C27" t="s">
        <v>26</v>
      </c>
      <c r="D27" t="s">
        <v>27</v>
      </c>
      <c r="E27">
        <v>1173.12</v>
      </c>
      <c r="F27">
        <v>18</v>
      </c>
      <c r="G27" s="29">
        <v>0</v>
      </c>
      <c r="H27" s="32">
        <v>45418</v>
      </c>
      <c r="I27">
        <v>293.28</v>
      </c>
      <c r="J27">
        <f t="shared" si="0"/>
        <v>5801.29</v>
      </c>
      <c r="K27">
        <f t="shared" si="1"/>
        <v>1173.12</v>
      </c>
      <c r="L27" s="37">
        <f ca="1" t="shared" si="4"/>
        <v>46011.0207175926</v>
      </c>
    </row>
    <row r="28" ht="15.75" customHeight="1" spans="1:12">
      <c r="A28" t="s">
        <v>28</v>
      </c>
      <c r="B28" t="s">
        <v>57</v>
      </c>
      <c r="C28" t="s">
        <v>30</v>
      </c>
      <c r="D28" t="s">
        <v>33</v>
      </c>
      <c r="E28">
        <v>675.54</v>
      </c>
      <c r="F28">
        <v>17</v>
      </c>
      <c r="G28" s="29">
        <v>0</v>
      </c>
      <c r="H28" s="32">
        <v>45420</v>
      </c>
      <c r="I28">
        <v>236.44</v>
      </c>
      <c r="J28">
        <f t="shared" si="0"/>
        <v>1450.99</v>
      </c>
      <c r="K28">
        <f t="shared" si="1"/>
        <v>675.54</v>
      </c>
      <c r="L28" s="37">
        <f ca="1" t="shared" si="4"/>
        <v>46011.0207175926</v>
      </c>
    </row>
    <row r="29" ht="15.75" customHeight="1" spans="1:12">
      <c r="A29" t="s">
        <v>31</v>
      </c>
      <c r="B29" t="s">
        <v>20</v>
      </c>
      <c r="C29" t="s">
        <v>40</v>
      </c>
      <c r="D29" t="s">
        <v>18</v>
      </c>
      <c r="E29">
        <v>939.09</v>
      </c>
      <c r="F29">
        <v>2</v>
      </c>
      <c r="G29" s="29">
        <v>0.05</v>
      </c>
      <c r="H29" s="32">
        <v>45422</v>
      </c>
      <c r="I29">
        <v>356.85</v>
      </c>
      <c r="J29">
        <f t="shared" si="0"/>
        <v>8331.85</v>
      </c>
      <c r="K29">
        <f t="shared" si="1"/>
        <v>892.1355</v>
      </c>
      <c r="L29" s="37">
        <f ca="1" t="shared" si="4"/>
        <v>46011.0207175926</v>
      </c>
    </row>
    <row r="30" ht="15.75" customHeight="1" spans="1:12">
      <c r="A30" t="s">
        <v>58</v>
      </c>
      <c r="B30" t="s">
        <v>59</v>
      </c>
      <c r="C30" t="s">
        <v>24</v>
      </c>
      <c r="D30" t="s">
        <v>45</v>
      </c>
      <c r="E30">
        <v>983.34</v>
      </c>
      <c r="F30">
        <v>19</v>
      </c>
      <c r="G30" s="29">
        <v>0.1</v>
      </c>
      <c r="H30" s="32">
        <v>45426</v>
      </c>
      <c r="I30">
        <v>398.25</v>
      </c>
      <c r="J30">
        <f t="shared" si="0"/>
        <v>7522.77</v>
      </c>
      <c r="K30">
        <f t="shared" si="1"/>
        <v>885.006</v>
      </c>
      <c r="L30" s="37">
        <f ca="1" t="shared" si="4"/>
        <v>46011.0207175926</v>
      </c>
    </row>
    <row r="31" ht="15.75" customHeight="1" spans="1:12">
      <c r="A31" t="s">
        <v>58</v>
      </c>
      <c r="B31" t="s">
        <v>29</v>
      </c>
      <c r="C31" t="s">
        <v>26</v>
      </c>
      <c r="D31" t="s">
        <v>27</v>
      </c>
      <c r="E31">
        <v>801.21</v>
      </c>
      <c r="F31">
        <v>3</v>
      </c>
      <c r="G31" s="29">
        <v>0.2</v>
      </c>
      <c r="H31" s="32">
        <v>45426</v>
      </c>
      <c r="I31">
        <v>160.24</v>
      </c>
      <c r="J31">
        <f t="shared" si="0"/>
        <v>20774.74</v>
      </c>
      <c r="K31">
        <f t="shared" si="1"/>
        <v>640.968</v>
      </c>
      <c r="L31" s="37">
        <f ca="1" t="shared" si="4"/>
        <v>46011.0207175926</v>
      </c>
    </row>
    <row r="32" ht="15.75" customHeight="1" spans="1:12">
      <c r="A32" t="s">
        <v>60</v>
      </c>
      <c r="B32" t="s">
        <v>61</v>
      </c>
      <c r="C32" t="s">
        <v>30</v>
      </c>
      <c r="D32" t="s">
        <v>27</v>
      </c>
      <c r="E32">
        <v>1450.71</v>
      </c>
      <c r="F32">
        <v>5</v>
      </c>
      <c r="G32" s="29">
        <v>0.1</v>
      </c>
      <c r="H32" s="32">
        <v>45427</v>
      </c>
      <c r="I32">
        <v>326.41</v>
      </c>
      <c r="J32">
        <f t="shared" si="0"/>
        <v>11915.83</v>
      </c>
      <c r="K32">
        <f t="shared" si="1"/>
        <v>1305.639</v>
      </c>
      <c r="L32" s="37">
        <f ca="1" t="shared" si="4"/>
        <v>46011.0207175926</v>
      </c>
    </row>
    <row r="33" ht="15.75" customHeight="1" spans="1:12">
      <c r="A33" t="s">
        <v>55</v>
      </c>
      <c r="B33" t="s">
        <v>62</v>
      </c>
      <c r="C33" t="s">
        <v>40</v>
      </c>
      <c r="D33" t="s">
        <v>18</v>
      </c>
      <c r="E33">
        <v>1023.21</v>
      </c>
      <c r="F33">
        <v>18</v>
      </c>
      <c r="G33" s="29">
        <v>0.05</v>
      </c>
      <c r="H33" s="32">
        <v>45428</v>
      </c>
      <c r="I33">
        <v>388.82</v>
      </c>
      <c r="J33">
        <f t="shared" si="0"/>
        <v>3819.14</v>
      </c>
      <c r="K33">
        <f t="shared" si="1"/>
        <v>972.0495</v>
      </c>
      <c r="L33" s="37">
        <f ca="1" t="shared" ref="L33:L42" si="5">NOW()</f>
        <v>46011.0207175926</v>
      </c>
    </row>
    <row r="34" ht="15.75" customHeight="1" spans="1:12">
      <c r="A34" t="s">
        <v>34</v>
      </c>
      <c r="B34" t="s">
        <v>53</v>
      </c>
      <c r="C34" t="s">
        <v>17</v>
      </c>
      <c r="D34" t="s">
        <v>33</v>
      </c>
      <c r="E34">
        <v>853.72</v>
      </c>
      <c r="F34">
        <v>5</v>
      </c>
      <c r="G34" s="29">
        <v>0.15</v>
      </c>
      <c r="H34" s="32">
        <v>45428</v>
      </c>
      <c r="I34">
        <v>253.98</v>
      </c>
      <c r="J34">
        <f t="shared" si="0"/>
        <v>7251.18</v>
      </c>
      <c r="K34">
        <f t="shared" si="1"/>
        <v>725.662</v>
      </c>
      <c r="L34" s="37">
        <f ca="1" t="shared" si="5"/>
        <v>46011.0207175926</v>
      </c>
    </row>
    <row r="35" ht="15.75" customHeight="1" spans="1:12">
      <c r="A35" t="s">
        <v>63</v>
      </c>
      <c r="B35" t="s">
        <v>49</v>
      </c>
      <c r="C35" t="s">
        <v>26</v>
      </c>
      <c r="D35" t="s">
        <v>27</v>
      </c>
      <c r="E35">
        <v>967.89</v>
      </c>
      <c r="F35">
        <v>10</v>
      </c>
      <c r="G35" s="29">
        <v>0.1</v>
      </c>
      <c r="H35" s="32">
        <v>45429</v>
      </c>
      <c r="I35">
        <v>217.78</v>
      </c>
      <c r="J35">
        <f t="shared" ref="J35:J66" si="6">SUMIFS($E:$E,$B:$B,B35)</f>
        <v>7296.19</v>
      </c>
      <c r="K35">
        <f t="shared" ref="K35:K66" si="7">E35*(1-G35)</f>
        <v>871.101</v>
      </c>
      <c r="L35" s="37">
        <f ca="1" t="shared" si="5"/>
        <v>46011.0207175926</v>
      </c>
    </row>
    <row r="36" ht="15.75" customHeight="1" spans="1:12">
      <c r="A36" t="s">
        <v>64</v>
      </c>
      <c r="B36" t="s">
        <v>59</v>
      </c>
      <c r="C36" t="s">
        <v>30</v>
      </c>
      <c r="D36" t="s">
        <v>45</v>
      </c>
      <c r="E36">
        <v>1200.9</v>
      </c>
      <c r="F36">
        <v>14</v>
      </c>
      <c r="G36" s="29">
        <v>0.05</v>
      </c>
      <c r="H36" s="32">
        <v>45429</v>
      </c>
      <c r="I36">
        <v>513.38</v>
      </c>
      <c r="J36">
        <f t="shared" si="6"/>
        <v>7522.77</v>
      </c>
      <c r="K36">
        <f t="shared" si="7"/>
        <v>1140.855</v>
      </c>
      <c r="L36" s="37">
        <f ca="1" t="shared" si="5"/>
        <v>46011.0207175926</v>
      </c>
    </row>
    <row r="37" ht="15.75" customHeight="1" spans="1:12">
      <c r="A37" t="s">
        <v>19</v>
      </c>
      <c r="B37" t="s">
        <v>32</v>
      </c>
      <c r="C37" t="s">
        <v>17</v>
      </c>
      <c r="D37" t="s">
        <v>18</v>
      </c>
      <c r="E37">
        <v>472.38</v>
      </c>
      <c r="F37">
        <v>12</v>
      </c>
      <c r="G37" s="29">
        <v>0.2</v>
      </c>
      <c r="H37" s="32">
        <v>45429</v>
      </c>
      <c r="I37">
        <v>151.16</v>
      </c>
      <c r="J37">
        <f t="shared" si="6"/>
        <v>7881.9</v>
      </c>
      <c r="K37">
        <f t="shared" si="7"/>
        <v>377.904</v>
      </c>
      <c r="L37" s="37">
        <f ca="1" t="shared" si="5"/>
        <v>46011.0207175926</v>
      </c>
    </row>
    <row r="38" ht="15.75" customHeight="1" spans="1:12">
      <c r="A38" t="s">
        <v>15</v>
      </c>
      <c r="B38" t="s">
        <v>61</v>
      </c>
      <c r="C38" t="s">
        <v>24</v>
      </c>
      <c r="D38" t="s">
        <v>45</v>
      </c>
      <c r="E38">
        <v>840.92</v>
      </c>
      <c r="F38">
        <v>9</v>
      </c>
      <c r="G38" s="29">
        <v>0.05</v>
      </c>
      <c r="H38" s="32">
        <v>45429</v>
      </c>
      <c r="I38">
        <v>359.49</v>
      </c>
      <c r="J38">
        <f t="shared" si="6"/>
        <v>11915.83</v>
      </c>
      <c r="K38">
        <f t="shared" si="7"/>
        <v>798.874</v>
      </c>
      <c r="L38" s="37">
        <f ca="1" t="shared" si="5"/>
        <v>46011.0207175926</v>
      </c>
    </row>
    <row r="39" ht="15.75" customHeight="1" spans="1:12">
      <c r="A39" t="s">
        <v>58</v>
      </c>
      <c r="B39" t="s">
        <v>54</v>
      </c>
      <c r="C39" t="s">
        <v>40</v>
      </c>
      <c r="D39" t="s">
        <v>33</v>
      </c>
      <c r="E39">
        <v>1410.06</v>
      </c>
      <c r="F39">
        <v>11</v>
      </c>
      <c r="G39" s="29">
        <v>0.05</v>
      </c>
      <c r="H39" s="32">
        <v>45434</v>
      </c>
      <c r="I39">
        <v>468.84</v>
      </c>
      <c r="J39">
        <f t="shared" si="6"/>
        <v>8090.12</v>
      </c>
      <c r="K39">
        <f t="shared" si="7"/>
        <v>1339.557</v>
      </c>
      <c r="L39" s="37">
        <f ca="1" t="shared" si="5"/>
        <v>46011.0207175926</v>
      </c>
    </row>
    <row r="40" ht="15.75" customHeight="1" spans="1:12">
      <c r="A40" t="s">
        <v>50</v>
      </c>
      <c r="B40" t="s">
        <v>65</v>
      </c>
      <c r="C40" t="s">
        <v>40</v>
      </c>
      <c r="D40" t="s">
        <v>33</v>
      </c>
      <c r="E40">
        <v>773.09</v>
      </c>
      <c r="F40">
        <v>13</v>
      </c>
      <c r="G40" s="29">
        <v>0.15</v>
      </c>
      <c r="H40" s="32">
        <v>45434</v>
      </c>
      <c r="I40">
        <v>229.99</v>
      </c>
      <c r="J40">
        <f t="shared" si="6"/>
        <v>5443.34</v>
      </c>
      <c r="K40">
        <f t="shared" si="7"/>
        <v>657.1265</v>
      </c>
      <c r="L40" s="37">
        <f ca="1" t="shared" si="5"/>
        <v>46011.0207175926</v>
      </c>
    </row>
    <row r="41" ht="15.75" customHeight="1" spans="1:12">
      <c r="A41" t="s">
        <v>66</v>
      </c>
      <c r="B41" t="s">
        <v>67</v>
      </c>
      <c r="C41" t="s">
        <v>24</v>
      </c>
      <c r="D41" t="s">
        <v>18</v>
      </c>
      <c r="E41">
        <v>580.43</v>
      </c>
      <c r="F41">
        <v>19</v>
      </c>
      <c r="G41" s="29">
        <v>0.15</v>
      </c>
      <c r="H41" s="32">
        <v>45435</v>
      </c>
      <c r="I41">
        <v>197.35</v>
      </c>
      <c r="J41">
        <f t="shared" si="6"/>
        <v>8543.97</v>
      </c>
      <c r="K41">
        <f t="shared" si="7"/>
        <v>493.3655</v>
      </c>
      <c r="L41" s="37">
        <f ca="1" t="shared" si="5"/>
        <v>46011.0207175926</v>
      </c>
    </row>
    <row r="42" ht="15.75" customHeight="1" spans="1:12">
      <c r="A42" t="s">
        <v>25</v>
      </c>
      <c r="B42" t="s">
        <v>48</v>
      </c>
      <c r="C42" t="s">
        <v>26</v>
      </c>
      <c r="D42" t="s">
        <v>18</v>
      </c>
      <c r="E42">
        <v>1151.21</v>
      </c>
      <c r="F42">
        <v>15</v>
      </c>
      <c r="G42" s="29">
        <v>0.1</v>
      </c>
      <c r="H42" s="32">
        <v>45445</v>
      </c>
      <c r="I42">
        <v>414.44</v>
      </c>
      <c r="J42">
        <f t="shared" si="6"/>
        <v>1672.88</v>
      </c>
      <c r="K42">
        <f t="shared" si="7"/>
        <v>1036.089</v>
      </c>
      <c r="L42" s="37">
        <f ca="1" t="shared" si="5"/>
        <v>46011.0207175926</v>
      </c>
    </row>
    <row r="43" ht="15.75" customHeight="1" spans="1:12">
      <c r="A43" t="s">
        <v>58</v>
      </c>
      <c r="B43" t="s">
        <v>29</v>
      </c>
      <c r="C43" t="s">
        <v>40</v>
      </c>
      <c r="D43" t="s">
        <v>45</v>
      </c>
      <c r="E43">
        <v>1025.98</v>
      </c>
      <c r="F43">
        <v>5</v>
      </c>
      <c r="G43" s="29">
        <v>0.2</v>
      </c>
      <c r="H43" s="32">
        <v>45447</v>
      </c>
      <c r="I43">
        <v>369.35</v>
      </c>
      <c r="J43">
        <f t="shared" si="6"/>
        <v>20774.74</v>
      </c>
      <c r="K43">
        <f t="shared" si="7"/>
        <v>820.784</v>
      </c>
      <c r="L43" s="37">
        <f ca="1" t="shared" ref="L43:L52" si="8">NOW()</f>
        <v>46011.0207175926</v>
      </c>
    </row>
    <row r="44" ht="15.75" customHeight="1" spans="1:12">
      <c r="A44" t="s">
        <v>46</v>
      </c>
      <c r="B44" t="s">
        <v>62</v>
      </c>
      <c r="C44" t="s">
        <v>24</v>
      </c>
      <c r="D44" t="s">
        <v>45</v>
      </c>
      <c r="E44">
        <v>556.42</v>
      </c>
      <c r="F44">
        <v>11</v>
      </c>
      <c r="G44" s="29">
        <v>0.15</v>
      </c>
      <c r="H44" s="32">
        <v>45447</v>
      </c>
      <c r="I44">
        <v>212.83</v>
      </c>
      <c r="J44">
        <f t="shared" si="6"/>
        <v>3819.14</v>
      </c>
      <c r="K44">
        <f t="shared" si="7"/>
        <v>472.957</v>
      </c>
      <c r="L44" s="37">
        <f ca="1" t="shared" si="8"/>
        <v>46011.0207175926</v>
      </c>
    </row>
    <row r="45" ht="15.75" customHeight="1" spans="1:12">
      <c r="A45" t="s">
        <v>63</v>
      </c>
      <c r="B45" t="s">
        <v>29</v>
      </c>
      <c r="C45" t="s">
        <v>40</v>
      </c>
      <c r="D45" t="s">
        <v>18</v>
      </c>
      <c r="E45">
        <v>840.85</v>
      </c>
      <c r="F45">
        <v>19</v>
      </c>
      <c r="G45" s="29">
        <v>0.1</v>
      </c>
      <c r="H45" s="32">
        <v>45448</v>
      </c>
      <c r="I45">
        <v>302.71</v>
      </c>
      <c r="J45">
        <f t="shared" si="6"/>
        <v>20774.74</v>
      </c>
      <c r="K45">
        <f t="shared" si="7"/>
        <v>756.765</v>
      </c>
      <c r="L45" s="37">
        <f ca="1" t="shared" si="8"/>
        <v>46011.0207175926</v>
      </c>
    </row>
    <row r="46" ht="15.75" customHeight="1" spans="1:12">
      <c r="A46" t="s">
        <v>36</v>
      </c>
      <c r="B46" t="s">
        <v>67</v>
      </c>
      <c r="C46" t="s">
        <v>30</v>
      </c>
      <c r="D46" t="s">
        <v>33</v>
      </c>
      <c r="E46">
        <v>1227.25</v>
      </c>
      <c r="F46">
        <v>12</v>
      </c>
      <c r="G46" s="29">
        <v>0.15</v>
      </c>
      <c r="H46" s="32">
        <v>45448</v>
      </c>
      <c r="I46">
        <v>365.11</v>
      </c>
      <c r="J46">
        <f t="shared" si="6"/>
        <v>8543.97</v>
      </c>
      <c r="K46">
        <f t="shared" si="7"/>
        <v>1043.1625</v>
      </c>
      <c r="L46" s="37">
        <f ca="1" t="shared" si="8"/>
        <v>46011.0207175926</v>
      </c>
    </row>
    <row r="47" ht="15.75" customHeight="1" spans="1:12">
      <c r="A47" t="s">
        <v>22</v>
      </c>
      <c r="B47" t="s">
        <v>68</v>
      </c>
      <c r="C47" t="s">
        <v>40</v>
      </c>
      <c r="D47" t="s">
        <v>27</v>
      </c>
      <c r="E47">
        <v>856.7</v>
      </c>
      <c r="F47">
        <v>2</v>
      </c>
      <c r="G47" s="29">
        <v>0</v>
      </c>
      <c r="H47" s="32">
        <v>45449</v>
      </c>
      <c r="I47">
        <v>214.18</v>
      </c>
      <c r="J47">
        <f t="shared" si="6"/>
        <v>856.7</v>
      </c>
      <c r="K47">
        <f t="shared" si="7"/>
        <v>856.7</v>
      </c>
      <c r="L47" s="37">
        <f ca="1" t="shared" si="8"/>
        <v>46011.0207175926</v>
      </c>
    </row>
    <row r="48" ht="15.75" customHeight="1" spans="1:12">
      <c r="A48" t="s">
        <v>60</v>
      </c>
      <c r="B48" t="s">
        <v>62</v>
      </c>
      <c r="C48" t="s">
        <v>40</v>
      </c>
      <c r="D48" t="s">
        <v>45</v>
      </c>
      <c r="E48">
        <v>1225.42</v>
      </c>
      <c r="F48">
        <v>8</v>
      </c>
      <c r="G48" s="29">
        <v>0.15</v>
      </c>
      <c r="H48" s="32">
        <v>45449</v>
      </c>
      <c r="I48">
        <v>468.72</v>
      </c>
      <c r="J48">
        <f t="shared" si="6"/>
        <v>3819.14</v>
      </c>
      <c r="K48">
        <f t="shared" si="7"/>
        <v>1041.607</v>
      </c>
      <c r="L48" s="37">
        <f ca="1" t="shared" si="8"/>
        <v>46011.0207175926</v>
      </c>
    </row>
    <row r="49" ht="15.75" customHeight="1" spans="1:12">
      <c r="A49" t="s">
        <v>69</v>
      </c>
      <c r="B49" t="s">
        <v>37</v>
      </c>
      <c r="C49" t="s">
        <v>30</v>
      </c>
      <c r="D49" t="s">
        <v>45</v>
      </c>
      <c r="E49">
        <v>1001.57</v>
      </c>
      <c r="F49">
        <v>12</v>
      </c>
      <c r="G49" s="29">
        <v>0</v>
      </c>
      <c r="H49" s="32">
        <v>45450</v>
      </c>
      <c r="I49">
        <v>450.71</v>
      </c>
      <c r="J49">
        <f t="shared" si="6"/>
        <v>17143.29</v>
      </c>
      <c r="K49">
        <f t="shared" si="7"/>
        <v>1001.57</v>
      </c>
      <c r="L49" s="37">
        <f ca="1" t="shared" si="8"/>
        <v>46011.0207175926</v>
      </c>
    </row>
    <row r="50" ht="15.75" customHeight="1" spans="1:12">
      <c r="A50" t="s">
        <v>63</v>
      </c>
      <c r="B50" t="s">
        <v>32</v>
      </c>
      <c r="C50" t="s">
        <v>24</v>
      </c>
      <c r="D50" t="s">
        <v>33</v>
      </c>
      <c r="E50">
        <v>1186.85</v>
      </c>
      <c r="F50">
        <v>19</v>
      </c>
      <c r="G50" s="29">
        <v>0.2</v>
      </c>
      <c r="H50" s="32">
        <v>45451</v>
      </c>
      <c r="I50">
        <v>332.32</v>
      </c>
      <c r="J50">
        <f t="shared" si="6"/>
        <v>7881.9</v>
      </c>
      <c r="K50">
        <f t="shared" si="7"/>
        <v>949.48</v>
      </c>
      <c r="L50" s="37">
        <f ca="1" t="shared" si="8"/>
        <v>46011.0207175926</v>
      </c>
    </row>
    <row r="51" ht="15.75" customHeight="1" spans="1:12">
      <c r="A51" t="s">
        <v>50</v>
      </c>
      <c r="B51" t="s">
        <v>57</v>
      </c>
      <c r="C51" t="s">
        <v>26</v>
      </c>
      <c r="D51" t="s">
        <v>27</v>
      </c>
      <c r="E51">
        <v>775.45</v>
      </c>
      <c r="F51">
        <v>6</v>
      </c>
      <c r="G51" s="29">
        <v>0.1</v>
      </c>
      <c r="H51" s="32">
        <v>45457</v>
      </c>
      <c r="I51">
        <v>174.48</v>
      </c>
      <c r="J51">
        <f t="shared" si="6"/>
        <v>1450.99</v>
      </c>
      <c r="K51">
        <f t="shared" si="7"/>
        <v>697.905</v>
      </c>
      <c r="L51" s="37">
        <f ca="1" t="shared" si="8"/>
        <v>46011.0207175926</v>
      </c>
    </row>
    <row r="52" ht="15.75" customHeight="1" spans="1:12">
      <c r="A52" t="s">
        <v>31</v>
      </c>
      <c r="B52" t="s">
        <v>39</v>
      </c>
      <c r="C52" t="s">
        <v>26</v>
      </c>
      <c r="D52" t="s">
        <v>27</v>
      </c>
      <c r="E52">
        <v>1021.47</v>
      </c>
      <c r="F52">
        <v>6</v>
      </c>
      <c r="G52" s="29">
        <v>0.05</v>
      </c>
      <c r="H52" s="32">
        <v>45461</v>
      </c>
      <c r="I52">
        <v>242.6</v>
      </c>
      <c r="J52">
        <f t="shared" si="6"/>
        <v>3968.59</v>
      </c>
      <c r="K52">
        <f t="shared" si="7"/>
        <v>970.3965</v>
      </c>
      <c r="L52" s="37">
        <f ca="1" t="shared" si="8"/>
        <v>46011.0207175926</v>
      </c>
    </row>
    <row r="53" ht="15.75" customHeight="1" spans="1:12">
      <c r="A53" t="s">
        <v>64</v>
      </c>
      <c r="B53" t="s">
        <v>29</v>
      </c>
      <c r="C53" t="s">
        <v>26</v>
      </c>
      <c r="D53" t="s">
        <v>21</v>
      </c>
      <c r="E53">
        <v>1226.62</v>
      </c>
      <c r="F53">
        <v>7</v>
      </c>
      <c r="G53" s="29">
        <v>0.1</v>
      </c>
      <c r="H53" s="32">
        <v>45463</v>
      </c>
      <c r="I53">
        <v>551.98</v>
      </c>
      <c r="J53">
        <f t="shared" si="6"/>
        <v>20774.74</v>
      </c>
      <c r="K53">
        <f t="shared" si="7"/>
        <v>1103.958</v>
      </c>
      <c r="L53" s="37">
        <f ca="1" t="shared" ref="L53:L62" si="9">NOW()</f>
        <v>46011.0207175926</v>
      </c>
    </row>
    <row r="54" ht="15.75" customHeight="1" spans="1:12">
      <c r="A54" t="s">
        <v>28</v>
      </c>
      <c r="B54" t="s">
        <v>70</v>
      </c>
      <c r="C54" t="s">
        <v>26</v>
      </c>
      <c r="D54" t="s">
        <v>33</v>
      </c>
      <c r="E54">
        <v>1086.93</v>
      </c>
      <c r="F54">
        <v>2</v>
      </c>
      <c r="G54" s="29">
        <v>0</v>
      </c>
      <c r="H54" s="32">
        <v>45464</v>
      </c>
      <c r="I54">
        <v>380.43</v>
      </c>
      <c r="J54">
        <f t="shared" si="6"/>
        <v>5771.59</v>
      </c>
      <c r="K54">
        <f t="shared" si="7"/>
        <v>1086.93</v>
      </c>
      <c r="L54" s="37">
        <f ca="1" t="shared" si="9"/>
        <v>46011.0207175926</v>
      </c>
    </row>
    <row r="55" ht="15.75" customHeight="1" spans="1:12">
      <c r="A55" t="s">
        <v>71</v>
      </c>
      <c r="B55" t="s">
        <v>54</v>
      </c>
      <c r="C55" t="s">
        <v>17</v>
      </c>
      <c r="D55" t="s">
        <v>18</v>
      </c>
      <c r="E55">
        <v>942.9</v>
      </c>
      <c r="F55">
        <v>18</v>
      </c>
      <c r="G55" s="29">
        <v>0.1</v>
      </c>
      <c r="H55" s="32">
        <v>45466</v>
      </c>
      <c r="I55">
        <v>339.44</v>
      </c>
      <c r="J55">
        <f t="shared" si="6"/>
        <v>8090.12</v>
      </c>
      <c r="K55">
        <f t="shared" si="7"/>
        <v>848.61</v>
      </c>
      <c r="L55" s="37">
        <f ca="1" t="shared" si="9"/>
        <v>46011.0207175926</v>
      </c>
    </row>
    <row r="56" ht="15.75" customHeight="1" spans="1:12">
      <c r="A56" t="s">
        <v>38</v>
      </c>
      <c r="B56" t="s">
        <v>44</v>
      </c>
      <c r="C56" t="s">
        <v>30</v>
      </c>
      <c r="D56" t="s">
        <v>27</v>
      </c>
      <c r="E56">
        <v>818.8</v>
      </c>
      <c r="F56">
        <v>15</v>
      </c>
      <c r="G56" s="29">
        <v>0.15</v>
      </c>
      <c r="H56" s="32">
        <v>45468</v>
      </c>
      <c r="I56">
        <v>173.99</v>
      </c>
      <c r="J56">
        <f t="shared" si="6"/>
        <v>11398.32</v>
      </c>
      <c r="K56">
        <f t="shared" si="7"/>
        <v>695.98</v>
      </c>
      <c r="L56" s="37">
        <f ca="1" t="shared" si="9"/>
        <v>46011.0207175926</v>
      </c>
    </row>
    <row r="57" ht="15.75" customHeight="1" spans="1:12">
      <c r="A57" t="s">
        <v>25</v>
      </c>
      <c r="B57" t="s">
        <v>20</v>
      </c>
      <c r="C57" t="s">
        <v>26</v>
      </c>
      <c r="D57" t="s">
        <v>33</v>
      </c>
      <c r="E57">
        <v>919.04</v>
      </c>
      <c r="F57">
        <v>10</v>
      </c>
      <c r="G57" s="29">
        <v>0.2</v>
      </c>
      <c r="H57" s="32">
        <v>45468</v>
      </c>
      <c r="I57">
        <v>257.33</v>
      </c>
      <c r="J57">
        <f t="shared" si="6"/>
        <v>8331.85</v>
      </c>
      <c r="K57">
        <f t="shared" si="7"/>
        <v>735.232</v>
      </c>
      <c r="L57" s="37">
        <f ca="1" t="shared" si="9"/>
        <v>46011.0207175926</v>
      </c>
    </row>
    <row r="58" ht="15.75" customHeight="1" spans="1:12">
      <c r="A58" t="s">
        <v>28</v>
      </c>
      <c r="B58" t="s">
        <v>72</v>
      </c>
      <c r="C58" t="s">
        <v>40</v>
      </c>
      <c r="D58" t="s">
        <v>18</v>
      </c>
      <c r="E58">
        <v>973.26</v>
      </c>
      <c r="F58">
        <v>11</v>
      </c>
      <c r="G58" s="29">
        <v>0</v>
      </c>
      <c r="H58" s="32">
        <v>45470</v>
      </c>
      <c r="I58">
        <v>389.3</v>
      </c>
      <c r="J58">
        <f t="shared" si="6"/>
        <v>5014.96</v>
      </c>
      <c r="K58">
        <f t="shared" si="7"/>
        <v>973.26</v>
      </c>
      <c r="L58" s="37">
        <f ca="1" t="shared" si="9"/>
        <v>46011.0207175926</v>
      </c>
    </row>
    <row r="59" ht="15.75" customHeight="1" spans="1:12">
      <c r="A59" t="s">
        <v>47</v>
      </c>
      <c r="B59" t="s">
        <v>70</v>
      </c>
      <c r="C59" t="s">
        <v>30</v>
      </c>
      <c r="D59" t="s">
        <v>27</v>
      </c>
      <c r="E59">
        <v>741.61</v>
      </c>
      <c r="F59">
        <v>1</v>
      </c>
      <c r="G59" s="29">
        <v>0.2</v>
      </c>
      <c r="H59" s="32">
        <v>45471</v>
      </c>
      <c r="I59">
        <v>148.32</v>
      </c>
      <c r="J59">
        <f t="shared" si="6"/>
        <v>5771.59</v>
      </c>
      <c r="K59">
        <f t="shared" si="7"/>
        <v>593.288</v>
      </c>
      <c r="L59" s="37">
        <f ca="1" t="shared" si="9"/>
        <v>46011.0207175926</v>
      </c>
    </row>
    <row r="60" ht="15.75" customHeight="1" spans="1:12">
      <c r="A60" t="s">
        <v>73</v>
      </c>
      <c r="B60" t="s">
        <v>44</v>
      </c>
      <c r="C60" t="s">
        <v>30</v>
      </c>
      <c r="D60" t="s">
        <v>18</v>
      </c>
      <c r="E60">
        <v>1248.82</v>
      </c>
      <c r="F60">
        <v>2</v>
      </c>
      <c r="G60" s="29">
        <v>0.1</v>
      </c>
      <c r="H60" s="32">
        <v>45473</v>
      </c>
      <c r="I60">
        <v>449.58</v>
      </c>
      <c r="J60">
        <f t="shared" si="6"/>
        <v>11398.32</v>
      </c>
      <c r="K60">
        <f t="shared" si="7"/>
        <v>1123.938</v>
      </c>
      <c r="L60" s="37">
        <f ca="1" t="shared" si="9"/>
        <v>46011.0207175926</v>
      </c>
    </row>
    <row r="61" ht="15.75" customHeight="1" spans="1:12">
      <c r="A61" t="s">
        <v>19</v>
      </c>
      <c r="B61" t="s">
        <v>65</v>
      </c>
      <c r="C61" t="s">
        <v>17</v>
      </c>
      <c r="D61" t="s">
        <v>21</v>
      </c>
      <c r="E61">
        <v>1360.36</v>
      </c>
      <c r="F61">
        <v>17</v>
      </c>
      <c r="G61" s="29">
        <v>0</v>
      </c>
      <c r="H61" s="32">
        <v>45473</v>
      </c>
      <c r="I61">
        <v>680.18</v>
      </c>
      <c r="J61">
        <f t="shared" si="6"/>
        <v>5443.34</v>
      </c>
      <c r="K61">
        <f t="shared" si="7"/>
        <v>1360.36</v>
      </c>
      <c r="L61" s="37">
        <f ca="1" t="shared" si="9"/>
        <v>46011.0207175926</v>
      </c>
    </row>
    <row r="62" ht="15.75" customHeight="1" spans="1:12">
      <c r="A62" t="s">
        <v>63</v>
      </c>
      <c r="B62" t="s">
        <v>37</v>
      </c>
      <c r="C62" t="s">
        <v>24</v>
      </c>
      <c r="D62" t="s">
        <v>18</v>
      </c>
      <c r="E62">
        <v>1383.3</v>
      </c>
      <c r="F62">
        <v>8</v>
      </c>
      <c r="G62" s="29">
        <v>0.1</v>
      </c>
      <c r="H62" s="32">
        <v>45478</v>
      </c>
      <c r="I62">
        <v>497.99</v>
      </c>
      <c r="J62">
        <f t="shared" si="6"/>
        <v>17143.29</v>
      </c>
      <c r="K62">
        <f t="shared" si="7"/>
        <v>1244.97</v>
      </c>
      <c r="L62" s="37">
        <f ca="1" t="shared" si="9"/>
        <v>46011.0207175926</v>
      </c>
    </row>
    <row r="63" ht="15.75" customHeight="1" spans="1:12">
      <c r="A63" t="s">
        <v>41</v>
      </c>
      <c r="B63" t="s">
        <v>61</v>
      </c>
      <c r="C63" t="s">
        <v>40</v>
      </c>
      <c r="D63" t="s">
        <v>45</v>
      </c>
      <c r="E63">
        <v>488.99</v>
      </c>
      <c r="F63">
        <v>9</v>
      </c>
      <c r="G63" s="29">
        <v>0</v>
      </c>
      <c r="H63" s="32">
        <v>45479</v>
      </c>
      <c r="I63">
        <v>220.05</v>
      </c>
      <c r="J63">
        <f t="shared" si="6"/>
        <v>11915.83</v>
      </c>
      <c r="K63">
        <f t="shared" si="7"/>
        <v>488.99</v>
      </c>
      <c r="L63" s="37">
        <f ca="1" t="shared" ref="L63:L72" si="10">NOW()</f>
        <v>46011.0207175926</v>
      </c>
    </row>
    <row r="64" ht="15.75" customHeight="1" spans="1:12">
      <c r="A64" t="s">
        <v>36</v>
      </c>
      <c r="B64" t="s">
        <v>37</v>
      </c>
      <c r="C64" t="s">
        <v>24</v>
      </c>
      <c r="D64" t="s">
        <v>33</v>
      </c>
      <c r="E64">
        <v>933.71</v>
      </c>
      <c r="F64">
        <v>17</v>
      </c>
      <c r="G64" s="29">
        <v>0.1</v>
      </c>
      <c r="H64" s="32">
        <v>45481</v>
      </c>
      <c r="I64">
        <v>294.12</v>
      </c>
      <c r="J64">
        <f t="shared" si="6"/>
        <v>17143.29</v>
      </c>
      <c r="K64">
        <f t="shared" si="7"/>
        <v>840.339</v>
      </c>
      <c r="L64" s="37">
        <f ca="1" t="shared" si="10"/>
        <v>46011.0207175926</v>
      </c>
    </row>
    <row r="65" ht="15.75" customHeight="1" spans="1:12">
      <c r="A65" t="s">
        <v>73</v>
      </c>
      <c r="B65" t="s">
        <v>16</v>
      </c>
      <c r="C65" t="s">
        <v>17</v>
      </c>
      <c r="D65" t="s">
        <v>27</v>
      </c>
      <c r="E65">
        <v>1005.53</v>
      </c>
      <c r="F65">
        <v>17</v>
      </c>
      <c r="G65" s="29">
        <v>0.2</v>
      </c>
      <c r="H65" s="32">
        <v>45481</v>
      </c>
      <c r="I65">
        <v>201.11</v>
      </c>
      <c r="J65">
        <f t="shared" si="6"/>
        <v>6255.7</v>
      </c>
      <c r="K65">
        <f t="shared" si="7"/>
        <v>804.424</v>
      </c>
      <c r="L65" s="37">
        <f ca="1" t="shared" si="10"/>
        <v>46011.0207175926</v>
      </c>
    </row>
    <row r="66" ht="15.75" customHeight="1" spans="1:12">
      <c r="A66" t="s">
        <v>47</v>
      </c>
      <c r="B66" t="s">
        <v>67</v>
      </c>
      <c r="C66" t="s">
        <v>26</v>
      </c>
      <c r="D66" t="s">
        <v>27</v>
      </c>
      <c r="E66">
        <v>1100.1</v>
      </c>
      <c r="F66">
        <v>5</v>
      </c>
      <c r="G66" s="29">
        <v>0.05</v>
      </c>
      <c r="H66" s="32">
        <v>45482</v>
      </c>
      <c r="I66">
        <v>261.27</v>
      </c>
      <c r="J66">
        <f t="shared" si="6"/>
        <v>8543.97</v>
      </c>
      <c r="K66">
        <f t="shared" si="7"/>
        <v>1045.095</v>
      </c>
      <c r="L66" s="37">
        <f ca="1" t="shared" si="10"/>
        <v>46011.0207175926</v>
      </c>
    </row>
    <row r="67" ht="15.75" customHeight="1" spans="1:12">
      <c r="A67" t="s">
        <v>73</v>
      </c>
      <c r="B67" t="s">
        <v>29</v>
      </c>
      <c r="C67" t="s">
        <v>30</v>
      </c>
      <c r="D67" t="s">
        <v>33</v>
      </c>
      <c r="E67">
        <v>1034.7</v>
      </c>
      <c r="F67">
        <v>15</v>
      </c>
      <c r="G67" s="29">
        <v>0.15</v>
      </c>
      <c r="H67" s="32">
        <v>45487</v>
      </c>
      <c r="I67">
        <v>307.82</v>
      </c>
      <c r="J67">
        <f t="shared" ref="J67:J98" si="11">SUMIFS($E:$E,$B:$B,B67)</f>
        <v>20774.74</v>
      </c>
      <c r="K67">
        <f t="shared" ref="K67:K98" si="12">E67*(1-G67)</f>
        <v>879.495</v>
      </c>
      <c r="L67" s="37">
        <f ca="1" t="shared" si="10"/>
        <v>46011.0207175926</v>
      </c>
    </row>
    <row r="68" ht="15.75" customHeight="1" spans="1:12">
      <c r="A68" t="s">
        <v>71</v>
      </c>
      <c r="B68" t="s">
        <v>37</v>
      </c>
      <c r="C68" t="s">
        <v>26</v>
      </c>
      <c r="D68" t="s">
        <v>18</v>
      </c>
      <c r="E68">
        <v>876.44</v>
      </c>
      <c r="F68">
        <v>12</v>
      </c>
      <c r="G68" s="29">
        <v>0.05</v>
      </c>
      <c r="H68" s="32">
        <v>45488</v>
      </c>
      <c r="I68">
        <v>333.05</v>
      </c>
      <c r="J68">
        <f t="shared" si="11"/>
        <v>17143.29</v>
      </c>
      <c r="K68">
        <f t="shared" si="12"/>
        <v>832.618</v>
      </c>
      <c r="L68" s="37">
        <f ca="1" t="shared" si="10"/>
        <v>46011.0207175926</v>
      </c>
    </row>
    <row r="69" ht="15.75" customHeight="1" spans="1:12">
      <c r="A69" t="s">
        <v>74</v>
      </c>
      <c r="B69" t="s">
        <v>61</v>
      </c>
      <c r="C69" t="s">
        <v>17</v>
      </c>
      <c r="D69" t="s">
        <v>33</v>
      </c>
      <c r="E69">
        <v>1371.34</v>
      </c>
      <c r="F69">
        <v>5</v>
      </c>
      <c r="G69" s="29">
        <v>0.05</v>
      </c>
      <c r="H69" s="32">
        <v>45488</v>
      </c>
      <c r="I69">
        <v>455.97</v>
      </c>
      <c r="J69">
        <f t="shared" si="11"/>
        <v>11915.83</v>
      </c>
      <c r="K69">
        <f t="shared" si="12"/>
        <v>1302.773</v>
      </c>
      <c r="L69" s="37">
        <f ca="1" t="shared" si="10"/>
        <v>46011.0207175926</v>
      </c>
    </row>
    <row r="70" ht="15.75" customHeight="1" spans="1:12">
      <c r="A70" t="s">
        <v>63</v>
      </c>
      <c r="B70" t="s">
        <v>53</v>
      </c>
      <c r="C70" t="s">
        <v>30</v>
      </c>
      <c r="D70" t="s">
        <v>27</v>
      </c>
      <c r="E70">
        <v>1020.26</v>
      </c>
      <c r="F70">
        <v>11</v>
      </c>
      <c r="G70" s="29">
        <v>0.05</v>
      </c>
      <c r="H70" s="32">
        <v>45494</v>
      </c>
      <c r="I70">
        <v>242.31</v>
      </c>
      <c r="J70">
        <f t="shared" si="11"/>
        <v>7251.18</v>
      </c>
      <c r="K70">
        <f t="shared" si="12"/>
        <v>969.247</v>
      </c>
      <c r="L70" s="37">
        <f ca="1" t="shared" si="10"/>
        <v>46011.0207175926</v>
      </c>
    </row>
    <row r="71" ht="15.75" customHeight="1" spans="1:12">
      <c r="A71" t="s">
        <v>50</v>
      </c>
      <c r="B71" t="s">
        <v>16</v>
      </c>
      <c r="C71" t="s">
        <v>40</v>
      </c>
      <c r="D71" t="s">
        <v>45</v>
      </c>
      <c r="E71">
        <v>804.81</v>
      </c>
      <c r="F71">
        <v>1</v>
      </c>
      <c r="G71" s="29">
        <v>0.05</v>
      </c>
      <c r="H71" s="32">
        <v>45502</v>
      </c>
      <c r="I71">
        <v>344.06</v>
      </c>
      <c r="J71">
        <f t="shared" si="11"/>
        <v>6255.7</v>
      </c>
      <c r="K71">
        <f t="shared" si="12"/>
        <v>764.5695</v>
      </c>
      <c r="L71" s="37">
        <f ca="1" t="shared" si="10"/>
        <v>46011.0207175926</v>
      </c>
    </row>
    <row r="72" ht="15.75" customHeight="1" spans="1:12">
      <c r="A72" t="s">
        <v>28</v>
      </c>
      <c r="B72" t="s">
        <v>61</v>
      </c>
      <c r="C72" t="s">
        <v>40</v>
      </c>
      <c r="D72" t="s">
        <v>27</v>
      </c>
      <c r="E72">
        <v>608.66</v>
      </c>
      <c r="F72">
        <v>1</v>
      </c>
      <c r="G72" s="29">
        <v>0.05</v>
      </c>
      <c r="H72" s="32">
        <v>45503</v>
      </c>
      <c r="I72">
        <v>144.56</v>
      </c>
      <c r="J72">
        <f t="shared" si="11"/>
        <v>11915.83</v>
      </c>
      <c r="K72">
        <f t="shared" si="12"/>
        <v>578.227</v>
      </c>
      <c r="L72" s="37">
        <f ca="1" t="shared" si="10"/>
        <v>46011.0207175926</v>
      </c>
    </row>
    <row r="73" ht="15.75" customHeight="1" spans="1:12">
      <c r="A73" t="s">
        <v>74</v>
      </c>
      <c r="B73" t="s">
        <v>75</v>
      </c>
      <c r="C73" t="s">
        <v>26</v>
      </c>
      <c r="D73" t="s">
        <v>45</v>
      </c>
      <c r="E73">
        <v>981.2</v>
      </c>
      <c r="F73">
        <v>19</v>
      </c>
      <c r="G73" s="29">
        <v>0</v>
      </c>
      <c r="H73" s="32">
        <v>45504</v>
      </c>
      <c r="I73">
        <v>441.54</v>
      </c>
      <c r="J73">
        <f t="shared" si="11"/>
        <v>2304.9</v>
      </c>
      <c r="K73">
        <f t="shared" si="12"/>
        <v>981.2</v>
      </c>
      <c r="L73" s="37">
        <f ca="1" t="shared" ref="L73:L82" si="13">NOW()</f>
        <v>46011.0207175926</v>
      </c>
    </row>
    <row r="74" ht="15.75" customHeight="1" spans="1:12">
      <c r="A74" t="s">
        <v>76</v>
      </c>
      <c r="B74" t="s">
        <v>61</v>
      </c>
      <c r="C74" t="s">
        <v>24</v>
      </c>
      <c r="D74" t="s">
        <v>27</v>
      </c>
      <c r="E74">
        <v>539.77</v>
      </c>
      <c r="F74">
        <v>10</v>
      </c>
      <c r="G74" s="29">
        <v>0.15</v>
      </c>
      <c r="H74" s="32">
        <v>45509</v>
      </c>
      <c r="I74">
        <v>114.7</v>
      </c>
      <c r="J74">
        <f t="shared" si="11"/>
        <v>11915.83</v>
      </c>
      <c r="K74">
        <f t="shared" si="12"/>
        <v>458.8045</v>
      </c>
      <c r="L74" s="37">
        <f ca="1" t="shared" si="13"/>
        <v>46011.0207175926</v>
      </c>
    </row>
    <row r="75" ht="15.75" customHeight="1" spans="1:12">
      <c r="A75" t="s">
        <v>19</v>
      </c>
      <c r="B75" t="s">
        <v>77</v>
      </c>
      <c r="C75" t="s">
        <v>26</v>
      </c>
      <c r="D75" t="s">
        <v>18</v>
      </c>
      <c r="E75">
        <v>804.45</v>
      </c>
      <c r="F75">
        <v>5</v>
      </c>
      <c r="G75" s="29">
        <v>0.2</v>
      </c>
      <c r="H75" s="32">
        <v>45509</v>
      </c>
      <c r="I75">
        <v>257.42</v>
      </c>
      <c r="J75">
        <f t="shared" si="11"/>
        <v>5465.71</v>
      </c>
      <c r="K75">
        <f t="shared" si="12"/>
        <v>643.56</v>
      </c>
      <c r="L75" s="37">
        <f ca="1" t="shared" si="13"/>
        <v>46011.0207175926</v>
      </c>
    </row>
    <row r="76" ht="15.75" customHeight="1" spans="1:12">
      <c r="A76" t="s">
        <v>76</v>
      </c>
      <c r="B76" t="s">
        <v>44</v>
      </c>
      <c r="C76" t="s">
        <v>17</v>
      </c>
      <c r="D76" t="s">
        <v>27</v>
      </c>
      <c r="E76">
        <v>1526.6</v>
      </c>
      <c r="F76">
        <v>13</v>
      </c>
      <c r="G76" s="29">
        <v>0.2</v>
      </c>
      <c r="H76" s="32">
        <v>45512</v>
      </c>
      <c r="I76">
        <v>305.32</v>
      </c>
      <c r="J76">
        <f t="shared" si="11"/>
        <v>11398.32</v>
      </c>
      <c r="K76">
        <f t="shared" si="12"/>
        <v>1221.28</v>
      </c>
      <c r="L76" s="37">
        <f ca="1" t="shared" si="13"/>
        <v>46011.0207175926</v>
      </c>
    </row>
    <row r="77" ht="15.75" customHeight="1" spans="1:12">
      <c r="A77" t="s">
        <v>19</v>
      </c>
      <c r="B77" t="s">
        <v>35</v>
      </c>
      <c r="C77" t="s">
        <v>17</v>
      </c>
      <c r="D77" t="s">
        <v>27</v>
      </c>
      <c r="E77">
        <v>1215.26</v>
      </c>
      <c r="F77">
        <v>5</v>
      </c>
      <c r="G77" s="29">
        <v>0.15</v>
      </c>
      <c r="H77" s="32">
        <v>45513</v>
      </c>
      <c r="I77">
        <v>258.24</v>
      </c>
      <c r="J77">
        <f t="shared" si="11"/>
        <v>9970.2</v>
      </c>
      <c r="K77">
        <f t="shared" si="12"/>
        <v>1032.971</v>
      </c>
      <c r="L77" s="37">
        <f ca="1" t="shared" si="13"/>
        <v>46011.0207175926</v>
      </c>
    </row>
    <row r="78" ht="15.75" customHeight="1" spans="1:12">
      <c r="A78" t="s">
        <v>25</v>
      </c>
      <c r="B78" t="s">
        <v>59</v>
      </c>
      <c r="C78" t="s">
        <v>40</v>
      </c>
      <c r="D78" t="s">
        <v>33</v>
      </c>
      <c r="E78">
        <v>1261.34</v>
      </c>
      <c r="F78">
        <v>3</v>
      </c>
      <c r="G78" s="29">
        <v>0</v>
      </c>
      <c r="H78" s="32">
        <v>45519</v>
      </c>
      <c r="I78">
        <v>441.47</v>
      </c>
      <c r="J78">
        <f t="shared" si="11"/>
        <v>7522.77</v>
      </c>
      <c r="K78">
        <f t="shared" si="12"/>
        <v>1261.34</v>
      </c>
      <c r="L78" s="37">
        <f ca="1" t="shared" si="13"/>
        <v>46011.0207175926</v>
      </c>
    </row>
    <row r="79" ht="15.75" customHeight="1" spans="1:12">
      <c r="A79" t="s">
        <v>78</v>
      </c>
      <c r="B79" t="s">
        <v>51</v>
      </c>
      <c r="C79" t="s">
        <v>30</v>
      </c>
      <c r="D79" t="s">
        <v>33</v>
      </c>
      <c r="E79">
        <v>518.07</v>
      </c>
      <c r="F79">
        <v>7</v>
      </c>
      <c r="G79" s="29">
        <v>0.05</v>
      </c>
      <c r="H79" s="32">
        <v>45522</v>
      </c>
      <c r="I79">
        <v>172.26</v>
      </c>
      <c r="J79">
        <f t="shared" si="11"/>
        <v>8635.95</v>
      </c>
      <c r="K79">
        <f t="shared" si="12"/>
        <v>492.1665</v>
      </c>
      <c r="L79" s="37">
        <f ca="1" t="shared" si="13"/>
        <v>46011.0207175926</v>
      </c>
    </row>
    <row r="80" ht="15.75" customHeight="1" spans="1:12">
      <c r="A80" t="s">
        <v>36</v>
      </c>
      <c r="B80" t="s">
        <v>35</v>
      </c>
      <c r="C80" t="s">
        <v>17</v>
      </c>
      <c r="D80" t="s">
        <v>45</v>
      </c>
      <c r="E80">
        <v>1111.34</v>
      </c>
      <c r="F80">
        <v>1</v>
      </c>
      <c r="G80" s="29">
        <v>0</v>
      </c>
      <c r="H80" s="32">
        <v>45523</v>
      </c>
      <c r="I80">
        <v>500.1</v>
      </c>
      <c r="J80">
        <f t="shared" si="11"/>
        <v>9970.2</v>
      </c>
      <c r="K80">
        <f t="shared" si="12"/>
        <v>1111.34</v>
      </c>
      <c r="L80" s="37">
        <f ca="1" t="shared" si="13"/>
        <v>46011.0207175926</v>
      </c>
    </row>
    <row r="81" ht="15.75" customHeight="1" spans="1:12">
      <c r="A81" t="s">
        <v>28</v>
      </c>
      <c r="B81" t="s">
        <v>37</v>
      </c>
      <c r="C81" t="s">
        <v>24</v>
      </c>
      <c r="D81" t="s">
        <v>21</v>
      </c>
      <c r="E81">
        <v>1291.47</v>
      </c>
      <c r="F81">
        <v>18</v>
      </c>
      <c r="G81" s="29">
        <v>0.1</v>
      </c>
      <c r="H81" s="32">
        <v>45526</v>
      </c>
      <c r="I81">
        <v>581.16</v>
      </c>
      <c r="J81">
        <f t="shared" si="11"/>
        <v>17143.29</v>
      </c>
      <c r="K81">
        <f t="shared" si="12"/>
        <v>1162.323</v>
      </c>
      <c r="L81" s="37">
        <f ca="1" t="shared" si="13"/>
        <v>46011.0207175926</v>
      </c>
    </row>
    <row r="82" ht="15.75" customHeight="1" spans="1:12">
      <c r="A82" t="s">
        <v>31</v>
      </c>
      <c r="B82" t="s">
        <v>61</v>
      </c>
      <c r="C82" t="s">
        <v>30</v>
      </c>
      <c r="D82" t="s">
        <v>18</v>
      </c>
      <c r="E82">
        <v>679.71</v>
      </c>
      <c r="F82">
        <v>19</v>
      </c>
      <c r="G82" s="29">
        <v>0</v>
      </c>
      <c r="H82" s="32">
        <v>45534</v>
      </c>
      <c r="I82">
        <v>271.88</v>
      </c>
      <c r="J82">
        <f t="shared" si="11"/>
        <v>11915.83</v>
      </c>
      <c r="K82">
        <f t="shared" si="12"/>
        <v>679.71</v>
      </c>
      <c r="L82" s="37">
        <f ca="1" t="shared" si="13"/>
        <v>46011.0207175926</v>
      </c>
    </row>
    <row r="83" ht="15.75" customHeight="1" spans="1:12">
      <c r="A83" t="s">
        <v>74</v>
      </c>
      <c r="B83" t="s">
        <v>39</v>
      </c>
      <c r="C83" t="s">
        <v>24</v>
      </c>
      <c r="D83" t="s">
        <v>33</v>
      </c>
      <c r="E83">
        <v>1143.69</v>
      </c>
      <c r="F83">
        <v>17</v>
      </c>
      <c r="G83" s="29">
        <v>0</v>
      </c>
      <c r="H83" s="32">
        <v>45534</v>
      </c>
      <c r="I83">
        <v>400.29</v>
      </c>
      <c r="J83">
        <f t="shared" si="11"/>
        <v>3968.59</v>
      </c>
      <c r="K83">
        <f t="shared" si="12"/>
        <v>1143.69</v>
      </c>
      <c r="L83" s="37">
        <f ca="1" t="shared" ref="L83:L92" si="14">NOW()</f>
        <v>46011.0207175926</v>
      </c>
    </row>
    <row r="84" ht="15.75" customHeight="1" spans="1:12">
      <c r="A84" t="s">
        <v>58</v>
      </c>
      <c r="B84" t="s">
        <v>56</v>
      </c>
      <c r="C84" t="s">
        <v>40</v>
      </c>
      <c r="D84" t="s">
        <v>27</v>
      </c>
      <c r="E84">
        <v>790.08</v>
      </c>
      <c r="F84">
        <v>7</v>
      </c>
      <c r="G84" s="29">
        <v>0.1</v>
      </c>
      <c r="H84" s="32">
        <v>45536</v>
      </c>
      <c r="I84">
        <v>177.77</v>
      </c>
      <c r="J84">
        <f t="shared" si="11"/>
        <v>5801.29</v>
      </c>
      <c r="K84">
        <f t="shared" si="12"/>
        <v>711.072</v>
      </c>
      <c r="L84" s="37">
        <f ca="1" t="shared" si="14"/>
        <v>46011.0207175926</v>
      </c>
    </row>
    <row r="85" ht="15.75" customHeight="1" spans="1:12">
      <c r="A85" t="s">
        <v>25</v>
      </c>
      <c r="B85" t="s">
        <v>54</v>
      </c>
      <c r="C85" t="s">
        <v>40</v>
      </c>
      <c r="D85" t="s">
        <v>18</v>
      </c>
      <c r="E85">
        <v>1070.68</v>
      </c>
      <c r="F85">
        <v>7</v>
      </c>
      <c r="G85" s="29">
        <v>0.05</v>
      </c>
      <c r="H85" s="32">
        <v>45536</v>
      </c>
      <c r="I85">
        <v>406.86</v>
      </c>
      <c r="J85">
        <f t="shared" si="11"/>
        <v>8090.12</v>
      </c>
      <c r="K85">
        <f t="shared" si="12"/>
        <v>1017.146</v>
      </c>
      <c r="L85" s="37">
        <f ca="1" t="shared" si="14"/>
        <v>46011.0207175926</v>
      </c>
    </row>
    <row r="86" ht="15.75" customHeight="1" spans="1:12">
      <c r="A86" t="s">
        <v>64</v>
      </c>
      <c r="B86" t="s">
        <v>42</v>
      </c>
      <c r="C86" t="s">
        <v>17</v>
      </c>
      <c r="D86" t="s">
        <v>21</v>
      </c>
      <c r="E86">
        <v>1168.89</v>
      </c>
      <c r="F86">
        <v>4</v>
      </c>
      <c r="G86" s="29">
        <v>0.1</v>
      </c>
      <c r="H86" s="32">
        <v>45544</v>
      </c>
      <c r="I86">
        <v>526</v>
      </c>
      <c r="J86">
        <f t="shared" si="11"/>
        <v>7020.38</v>
      </c>
      <c r="K86">
        <f t="shared" si="12"/>
        <v>1052.001</v>
      </c>
      <c r="L86" s="37">
        <f ca="1" t="shared" si="14"/>
        <v>46011.0207175926</v>
      </c>
    </row>
    <row r="87" ht="15.75" customHeight="1" spans="1:12">
      <c r="A87" t="s">
        <v>73</v>
      </c>
      <c r="B87" t="s">
        <v>16</v>
      </c>
      <c r="C87" t="s">
        <v>26</v>
      </c>
      <c r="D87" t="s">
        <v>27</v>
      </c>
      <c r="E87">
        <v>1335.87</v>
      </c>
      <c r="F87">
        <v>17</v>
      </c>
      <c r="G87" s="29">
        <v>0</v>
      </c>
      <c r="H87" s="32">
        <v>45544</v>
      </c>
      <c r="I87">
        <v>333.97</v>
      </c>
      <c r="J87">
        <f t="shared" si="11"/>
        <v>6255.7</v>
      </c>
      <c r="K87">
        <f t="shared" si="12"/>
        <v>1335.87</v>
      </c>
      <c r="L87" s="37">
        <f ca="1" t="shared" si="14"/>
        <v>46011.0207175926</v>
      </c>
    </row>
    <row r="88" ht="15.75" customHeight="1" spans="1:12">
      <c r="A88" t="s">
        <v>46</v>
      </c>
      <c r="B88" t="s">
        <v>61</v>
      </c>
      <c r="C88" t="s">
        <v>24</v>
      </c>
      <c r="D88" t="s">
        <v>33</v>
      </c>
      <c r="E88">
        <v>873.7</v>
      </c>
      <c r="F88">
        <v>9</v>
      </c>
      <c r="G88" s="29">
        <v>0</v>
      </c>
      <c r="H88" s="32">
        <v>45546</v>
      </c>
      <c r="I88">
        <v>305.8</v>
      </c>
      <c r="J88">
        <f t="shared" si="11"/>
        <v>11915.83</v>
      </c>
      <c r="K88">
        <f t="shared" si="12"/>
        <v>873.7</v>
      </c>
      <c r="L88" s="37">
        <f ca="1" t="shared" si="14"/>
        <v>46011.0207175926</v>
      </c>
    </row>
    <row r="89" ht="15.75" customHeight="1" spans="1:12">
      <c r="A89" t="s">
        <v>78</v>
      </c>
      <c r="B89" t="s">
        <v>70</v>
      </c>
      <c r="C89" t="s">
        <v>17</v>
      </c>
      <c r="D89" t="s">
        <v>45</v>
      </c>
      <c r="E89">
        <v>1443.98</v>
      </c>
      <c r="F89">
        <v>19</v>
      </c>
      <c r="G89" s="29">
        <v>0</v>
      </c>
      <c r="H89" s="32">
        <v>45547</v>
      </c>
      <c r="I89">
        <v>649.79</v>
      </c>
      <c r="J89">
        <f t="shared" si="11"/>
        <v>5771.59</v>
      </c>
      <c r="K89">
        <f t="shared" si="12"/>
        <v>1443.98</v>
      </c>
      <c r="L89" s="37">
        <f ca="1" t="shared" si="14"/>
        <v>46011.0207175926</v>
      </c>
    </row>
    <row r="90" ht="15.75" customHeight="1" spans="1:12">
      <c r="A90" t="s">
        <v>46</v>
      </c>
      <c r="B90" t="s">
        <v>29</v>
      </c>
      <c r="C90" t="s">
        <v>24</v>
      </c>
      <c r="D90" t="s">
        <v>45</v>
      </c>
      <c r="E90">
        <v>1154.33</v>
      </c>
      <c r="F90">
        <v>11</v>
      </c>
      <c r="G90" s="29">
        <v>0.15</v>
      </c>
      <c r="H90" s="32">
        <v>45549</v>
      </c>
      <c r="I90">
        <v>441.53</v>
      </c>
      <c r="J90">
        <f t="shared" si="11"/>
        <v>20774.74</v>
      </c>
      <c r="K90">
        <f t="shared" si="12"/>
        <v>981.1805</v>
      </c>
      <c r="L90" s="37">
        <f ca="1" t="shared" si="14"/>
        <v>46011.0207175926</v>
      </c>
    </row>
    <row r="91" ht="15.75" customHeight="1" spans="1:12">
      <c r="A91" t="s">
        <v>55</v>
      </c>
      <c r="B91" t="s">
        <v>56</v>
      </c>
      <c r="C91" t="s">
        <v>26</v>
      </c>
      <c r="D91" t="s">
        <v>18</v>
      </c>
      <c r="E91">
        <v>1264.49</v>
      </c>
      <c r="F91">
        <v>16</v>
      </c>
      <c r="G91" s="29">
        <v>0.05</v>
      </c>
      <c r="H91" s="32">
        <v>45549</v>
      </c>
      <c r="I91">
        <v>480.51</v>
      </c>
      <c r="J91">
        <f t="shared" si="11"/>
        <v>5801.29</v>
      </c>
      <c r="K91">
        <f t="shared" si="12"/>
        <v>1201.2655</v>
      </c>
      <c r="L91" s="37">
        <f ca="1" t="shared" si="14"/>
        <v>46011.0207175926</v>
      </c>
    </row>
    <row r="92" ht="15.75" customHeight="1" spans="1:12">
      <c r="A92" t="s">
        <v>31</v>
      </c>
      <c r="B92" t="s">
        <v>72</v>
      </c>
      <c r="C92" t="s">
        <v>17</v>
      </c>
      <c r="D92" t="s">
        <v>33</v>
      </c>
      <c r="E92">
        <v>1101.55</v>
      </c>
      <c r="F92">
        <v>4</v>
      </c>
      <c r="G92" s="29">
        <v>0.1</v>
      </c>
      <c r="H92" s="32">
        <v>45551</v>
      </c>
      <c r="I92">
        <v>346.99</v>
      </c>
      <c r="J92">
        <f t="shared" si="11"/>
        <v>5014.96</v>
      </c>
      <c r="K92">
        <f t="shared" si="12"/>
        <v>991.395</v>
      </c>
      <c r="L92" s="37">
        <f ca="1" t="shared" si="14"/>
        <v>46011.0207175926</v>
      </c>
    </row>
    <row r="93" ht="15.75" customHeight="1" spans="1:12">
      <c r="A93" t="s">
        <v>79</v>
      </c>
      <c r="B93" t="s">
        <v>20</v>
      </c>
      <c r="C93" t="s">
        <v>26</v>
      </c>
      <c r="D93" t="s">
        <v>33</v>
      </c>
      <c r="E93">
        <v>727.73</v>
      </c>
      <c r="F93">
        <v>1</v>
      </c>
      <c r="G93" s="29">
        <v>0.1</v>
      </c>
      <c r="H93" s="32">
        <v>45552</v>
      </c>
      <c r="I93">
        <v>229.23</v>
      </c>
      <c r="J93">
        <f t="shared" si="11"/>
        <v>8331.85</v>
      </c>
      <c r="K93">
        <f t="shared" si="12"/>
        <v>654.957</v>
      </c>
      <c r="L93" s="37">
        <f ca="1" t="shared" ref="L93:L102" si="15">NOW()</f>
        <v>46011.0207175926</v>
      </c>
    </row>
    <row r="94" ht="15.75" customHeight="1" spans="1:12">
      <c r="A94" t="s">
        <v>80</v>
      </c>
      <c r="B94" t="s">
        <v>44</v>
      </c>
      <c r="C94" t="s">
        <v>24</v>
      </c>
      <c r="D94" t="s">
        <v>45</v>
      </c>
      <c r="E94">
        <v>875.41</v>
      </c>
      <c r="F94">
        <v>13</v>
      </c>
      <c r="G94" s="29">
        <v>0.15</v>
      </c>
      <c r="H94" s="32">
        <v>45552</v>
      </c>
      <c r="I94">
        <v>334.84</v>
      </c>
      <c r="J94">
        <f t="shared" si="11"/>
        <v>11398.32</v>
      </c>
      <c r="K94">
        <f t="shared" si="12"/>
        <v>744.0985</v>
      </c>
      <c r="L94" s="37">
        <f ca="1" t="shared" si="15"/>
        <v>46011.0207175926</v>
      </c>
    </row>
    <row r="95" ht="15.75" customHeight="1" spans="1:12">
      <c r="A95" t="s">
        <v>73</v>
      </c>
      <c r="B95" t="s">
        <v>29</v>
      </c>
      <c r="C95" t="s">
        <v>17</v>
      </c>
      <c r="D95" t="s">
        <v>27</v>
      </c>
      <c r="E95">
        <v>1158.94</v>
      </c>
      <c r="F95">
        <v>19</v>
      </c>
      <c r="G95" s="29">
        <v>0.2</v>
      </c>
      <c r="H95" s="32">
        <v>45553</v>
      </c>
      <c r="I95">
        <v>231.79</v>
      </c>
      <c r="J95">
        <f t="shared" si="11"/>
        <v>20774.74</v>
      </c>
      <c r="K95">
        <f t="shared" si="12"/>
        <v>927.152</v>
      </c>
      <c r="L95" s="37">
        <f ca="1" t="shared" si="15"/>
        <v>46011.0207175926</v>
      </c>
    </row>
    <row r="96" ht="15.75" customHeight="1" spans="1:12">
      <c r="A96" t="s">
        <v>81</v>
      </c>
      <c r="B96" t="s">
        <v>53</v>
      </c>
      <c r="C96" t="s">
        <v>26</v>
      </c>
      <c r="D96" t="s">
        <v>18</v>
      </c>
      <c r="E96">
        <v>966.3</v>
      </c>
      <c r="F96">
        <v>2</v>
      </c>
      <c r="G96" s="29">
        <v>0.15</v>
      </c>
      <c r="H96" s="32">
        <v>45557</v>
      </c>
      <c r="I96">
        <v>328.54</v>
      </c>
      <c r="J96">
        <f t="shared" si="11"/>
        <v>7251.18</v>
      </c>
      <c r="K96">
        <f t="shared" si="12"/>
        <v>821.355</v>
      </c>
      <c r="L96" s="37">
        <f ca="1" t="shared" si="15"/>
        <v>46011.0207175926</v>
      </c>
    </row>
    <row r="97" ht="15.75" customHeight="1" spans="1:12">
      <c r="A97" t="s">
        <v>74</v>
      </c>
      <c r="B97" t="s">
        <v>23</v>
      </c>
      <c r="C97" t="s">
        <v>26</v>
      </c>
      <c r="D97" t="s">
        <v>18</v>
      </c>
      <c r="E97">
        <v>917.48</v>
      </c>
      <c r="F97">
        <v>6</v>
      </c>
      <c r="G97" s="29">
        <v>0</v>
      </c>
      <c r="H97" s="32">
        <v>45558</v>
      </c>
      <c r="I97">
        <v>366.99</v>
      </c>
      <c r="J97">
        <f t="shared" si="11"/>
        <v>5615.28</v>
      </c>
      <c r="K97">
        <f t="shared" si="12"/>
        <v>917.48</v>
      </c>
      <c r="L97" s="37">
        <f ca="1" t="shared" si="15"/>
        <v>46011.0207175926</v>
      </c>
    </row>
    <row r="98" ht="15.75" customHeight="1" spans="1:12">
      <c r="A98" t="s">
        <v>47</v>
      </c>
      <c r="B98" t="s">
        <v>67</v>
      </c>
      <c r="C98" t="s">
        <v>17</v>
      </c>
      <c r="D98" t="s">
        <v>33</v>
      </c>
      <c r="E98">
        <v>1172.97</v>
      </c>
      <c r="F98">
        <v>7</v>
      </c>
      <c r="G98" s="29">
        <v>0.15</v>
      </c>
      <c r="H98" s="32">
        <v>45559</v>
      </c>
      <c r="I98">
        <v>348.96</v>
      </c>
      <c r="J98">
        <f t="shared" si="11"/>
        <v>8543.97</v>
      </c>
      <c r="K98">
        <f t="shared" si="12"/>
        <v>997.0245</v>
      </c>
      <c r="L98" s="37">
        <f ca="1" t="shared" si="15"/>
        <v>46011.0207175926</v>
      </c>
    </row>
    <row r="99" ht="15.75" customHeight="1" spans="1:12">
      <c r="A99" t="s">
        <v>63</v>
      </c>
      <c r="B99" t="s">
        <v>29</v>
      </c>
      <c r="C99" t="s">
        <v>30</v>
      </c>
      <c r="D99" t="s">
        <v>21</v>
      </c>
      <c r="E99">
        <v>1205.82</v>
      </c>
      <c r="F99">
        <v>11</v>
      </c>
      <c r="G99" s="29">
        <v>0.1</v>
      </c>
      <c r="H99" s="32">
        <v>45559</v>
      </c>
      <c r="I99">
        <v>542.62</v>
      </c>
      <c r="J99">
        <f t="shared" ref="J99:J130" si="16">SUMIFS($E:$E,$B:$B,B99)</f>
        <v>20774.74</v>
      </c>
      <c r="K99">
        <f t="shared" ref="K99:K130" si="17">E99*(1-G99)</f>
        <v>1085.238</v>
      </c>
      <c r="L99" s="37">
        <f ca="1" t="shared" si="15"/>
        <v>46011.0207175926</v>
      </c>
    </row>
    <row r="100" ht="15.75" customHeight="1" spans="1:12">
      <c r="A100" t="s">
        <v>22</v>
      </c>
      <c r="B100" t="s">
        <v>70</v>
      </c>
      <c r="C100" t="s">
        <v>17</v>
      </c>
      <c r="D100" t="s">
        <v>45</v>
      </c>
      <c r="E100">
        <v>826.93</v>
      </c>
      <c r="F100">
        <v>10</v>
      </c>
      <c r="G100" s="29">
        <v>0.2</v>
      </c>
      <c r="H100" s="32">
        <v>45564</v>
      </c>
      <c r="I100">
        <v>297.69</v>
      </c>
      <c r="J100">
        <f t="shared" si="16"/>
        <v>5771.59</v>
      </c>
      <c r="K100">
        <f t="shared" si="17"/>
        <v>661.544</v>
      </c>
      <c r="L100" s="37">
        <f ca="1" t="shared" si="15"/>
        <v>46011.0207175926</v>
      </c>
    </row>
    <row r="101" ht="15.75" customHeight="1" spans="1:12">
      <c r="A101" t="s">
        <v>73</v>
      </c>
      <c r="B101" t="s">
        <v>29</v>
      </c>
      <c r="C101" t="s">
        <v>40</v>
      </c>
      <c r="D101" t="s">
        <v>21</v>
      </c>
      <c r="E101">
        <v>902.19</v>
      </c>
      <c r="F101">
        <v>12</v>
      </c>
      <c r="G101" s="29">
        <v>0</v>
      </c>
      <c r="H101" s="32">
        <v>45564</v>
      </c>
      <c r="I101">
        <v>451.1</v>
      </c>
      <c r="J101">
        <f t="shared" si="16"/>
        <v>20774.74</v>
      </c>
      <c r="K101">
        <f t="shared" si="17"/>
        <v>902.19</v>
      </c>
      <c r="L101" s="37">
        <f ca="1" t="shared" si="15"/>
        <v>46011.0207175926</v>
      </c>
    </row>
    <row r="102" ht="15.75" customHeight="1" spans="1:12">
      <c r="A102" t="s">
        <v>80</v>
      </c>
      <c r="B102" t="s">
        <v>44</v>
      </c>
      <c r="C102" t="s">
        <v>30</v>
      </c>
      <c r="D102" t="s">
        <v>18</v>
      </c>
      <c r="E102">
        <v>585.97</v>
      </c>
      <c r="F102">
        <v>17</v>
      </c>
      <c r="G102" s="29">
        <v>0.1</v>
      </c>
      <c r="H102" s="32">
        <v>45565</v>
      </c>
      <c r="I102">
        <v>210.95</v>
      </c>
      <c r="J102">
        <f t="shared" si="16"/>
        <v>11398.32</v>
      </c>
      <c r="K102">
        <f t="shared" si="17"/>
        <v>527.373</v>
      </c>
      <c r="L102" s="37">
        <f ca="1" t="shared" si="15"/>
        <v>46011.0207175926</v>
      </c>
    </row>
    <row r="103" ht="15.75" customHeight="1" spans="1:12">
      <c r="A103" t="s">
        <v>66</v>
      </c>
      <c r="B103" t="s">
        <v>32</v>
      </c>
      <c r="C103" t="s">
        <v>30</v>
      </c>
      <c r="D103" t="s">
        <v>21</v>
      </c>
      <c r="E103">
        <v>990.19</v>
      </c>
      <c r="F103">
        <v>8</v>
      </c>
      <c r="G103" s="29">
        <v>0.1</v>
      </c>
      <c r="H103" s="32">
        <v>45565</v>
      </c>
      <c r="I103">
        <v>445.59</v>
      </c>
      <c r="J103">
        <f t="shared" si="16"/>
        <v>7881.9</v>
      </c>
      <c r="K103">
        <f t="shared" si="17"/>
        <v>891.171</v>
      </c>
      <c r="L103" s="37">
        <f ca="1" t="shared" ref="L103:L112" si="18">NOW()</f>
        <v>46011.0207175926</v>
      </c>
    </row>
    <row r="104" ht="15.75" customHeight="1" spans="1:12">
      <c r="A104" t="s">
        <v>50</v>
      </c>
      <c r="B104" t="s">
        <v>62</v>
      </c>
      <c r="C104" t="s">
        <v>40</v>
      </c>
      <c r="D104" t="s">
        <v>27</v>
      </c>
      <c r="E104">
        <v>1014.09</v>
      </c>
      <c r="F104">
        <v>13</v>
      </c>
      <c r="G104" s="29">
        <v>0.2</v>
      </c>
      <c r="H104" s="32">
        <v>45567</v>
      </c>
      <c r="I104">
        <v>202.82</v>
      </c>
      <c r="J104">
        <f t="shared" si="16"/>
        <v>3819.14</v>
      </c>
      <c r="K104">
        <f t="shared" si="17"/>
        <v>811.272</v>
      </c>
      <c r="L104" s="37">
        <f ca="1" t="shared" si="18"/>
        <v>46011.0207175926</v>
      </c>
    </row>
    <row r="105" ht="15.75" customHeight="1" spans="1:12">
      <c r="A105" t="s">
        <v>19</v>
      </c>
      <c r="B105" t="s">
        <v>54</v>
      </c>
      <c r="C105" t="s">
        <v>30</v>
      </c>
      <c r="D105" t="s">
        <v>27</v>
      </c>
      <c r="E105">
        <v>925.29</v>
      </c>
      <c r="F105">
        <v>17</v>
      </c>
      <c r="G105" s="29">
        <v>0</v>
      </c>
      <c r="H105" s="32">
        <v>45570</v>
      </c>
      <c r="I105">
        <v>231.32</v>
      </c>
      <c r="J105">
        <f t="shared" si="16"/>
        <v>8090.12</v>
      </c>
      <c r="K105">
        <f t="shared" si="17"/>
        <v>925.29</v>
      </c>
      <c r="L105" s="37">
        <f ca="1" t="shared" si="18"/>
        <v>46011.0207175926</v>
      </c>
    </row>
    <row r="106" ht="15.75" customHeight="1" spans="1:12">
      <c r="A106" t="s">
        <v>60</v>
      </c>
      <c r="B106" t="s">
        <v>53</v>
      </c>
      <c r="C106" t="s">
        <v>24</v>
      </c>
      <c r="D106" t="s">
        <v>33</v>
      </c>
      <c r="E106">
        <v>1286.54</v>
      </c>
      <c r="F106">
        <v>8</v>
      </c>
      <c r="G106" s="29">
        <v>0</v>
      </c>
      <c r="H106" s="32">
        <v>45575</v>
      </c>
      <c r="I106">
        <v>450.29</v>
      </c>
      <c r="J106">
        <f t="shared" si="16"/>
        <v>7251.18</v>
      </c>
      <c r="K106">
        <f t="shared" si="17"/>
        <v>1286.54</v>
      </c>
      <c r="L106" s="37">
        <f ca="1" t="shared" si="18"/>
        <v>46011.0207175926</v>
      </c>
    </row>
    <row r="107" ht="15.75" customHeight="1" spans="1:12">
      <c r="A107" t="s">
        <v>43</v>
      </c>
      <c r="B107" t="s">
        <v>70</v>
      </c>
      <c r="C107" t="s">
        <v>26</v>
      </c>
      <c r="D107" t="s">
        <v>18</v>
      </c>
      <c r="E107">
        <v>961.62</v>
      </c>
      <c r="F107">
        <v>8</v>
      </c>
      <c r="G107" s="29">
        <v>0.2</v>
      </c>
      <c r="H107" s="32">
        <v>45577</v>
      </c>
      <c r="I107">
        <v>307.72</v>
      </c>
      <c r="J107">
        <f t="shared" si="16"/>
        <v>5771.59</v>
      </c>
      <c r="K107">
        <f t="shared" si="17"/>
        <v>769.296</v>
      </c>
      <c r="L107" s="37">
        <f ca="1" t="shared" si="18"/>
        <v>46011.0207175926</v>
      </c>
    </row>
    <row r="108" ht="15.75" customHeight="1" spans="1:12">
      <c r="A108" t="s">
        <v>50</v>
      </c>
      <c r="B108" t="s">
        <v>29</v>
      </c>
      <c r="C108" t="s">
        <v>24</v>
      </c>
      <c r="D108" t="s">
        <v>18</v>
      </c>
      <c r="E108">
        <v>1081.14</v>
      </c>
      <c r="F108">
        <v>19</v>
      </c>
      <c r="G108" s="29">
        <v>0.15</v>
      </c>
      <c r="H108" s="32">
        <v>45577</v>
      </c>
      <c r="I108">
        <v>367.59</v>
      </c>
      <c r="J108">
        <f t="shared" si="16"/>
        <v>20774.74</v>
      </c>
      <c r="K108">
        <f t="shared" si="17"/>
        <v>918.969</v>
      </c>
      <c r="L108" s="37">
        <f ca="1" t="shared" si="18"/>
        <v>46011.0207175926</v>
      </c>
    </row>
    <row r="109" ht="15.75" customHeight="1" spans="1:12">
      <c r="A109" t="s">
        <v>64</v>
      </c>
      <c r="B109" t="s">
        <v>29</v>
      </c>
      <c r="C109" t="s">
        <v>17</v>
      </c>
      <c r="D109" t="s">
        <v>21</v>
      </c>
      <c r="E109">
        <v>1923.66</v>
      </c>
      <c r="F109">
        <v>9</v>
      </c>
      <c r="G109" s="29">
        <v>0.2</v>
      </c>
      <c r="H109" s="32">
        <v>45580</v>
      </c>
      <c r="I109">
        <v>769.46</v>
      </c>
      <c r="J109">
        <f t="shared" si="16"/>
        <v>20774.74</v>
      </c>
      <c r="K109">
        <f t="shared" si="17"/>
        <v>1538.928</v>
      </c>
      <c r="L109" s="37">
        <f ca="1" t="shared" si="18"/>
        <v>46011.0207175926</v>
      </c>
    </row>
    <row r="110" ht="15.75" customHeight="1" spans="1:12">
      <c r="A110" t="s">
        <v>60</v>
      </c>
      <c r="B110" t="s">
        <v>72</v>
      </c>
      <c r="C110" t="s">
        <v>40</v>
      </c>
      <c r="D110" t="s">
        <v>21</v>
      </c>
      <c r="E110">
        <v>728.71</v>
      </c>
      <c r="F110">
        <v>14</v>
      </c>
      <c r="G110" s="29">
        <v>0.1</v>
      </c>
      <c r="H110" s="32">
        <v>45581</v>
      </c>
      <c r="I110">
        <v>327.92</v>
      </c>
      <c r="J110">
        <f t="shared" si="16"/>
        <v>5014.96</v>
      </c>
      <c r="K110">
        <f t="shared" si="17"/>
        <v>655.839</v>
      </c>
      <c r="L110" s="37">
        <f ca="1" t="shared" si="18"/>
        <v>46011.0207175926</v>
      </c>
    </row>
    <row r="111" ht="15.75" customHeight="1" spans="1:12">
      <c r="A111" t="s">
        <v>15</v>
      </c>
      <c r="B111" t="s">
        <v>39</v>
      </c>
      <c r="C111" t="s">
        <v>40</v>
      </c>
      <c r="D111" t="s">
        <v>21</v>
      </c>
      <c r="E111">
        <v>1301.89</v>
      </c>
      <c r="F111">
        <v>7</v>
      </c>
      <c r="G111" s="29">
        <v>0.15</v>
      </c>
      <c r="H111" s="32">
        <v>45581</v>
      </c>
      <c r="I111">
        <v>553.3</v>
      </c>
      <c r="J111">
        <f t="shared" si="16"/>
        <v>3968.59</v>
      </c>
      <c r="K111">
        <f t="shared" si="17"/>
        <v>1106.6065</v>
      </c>
      <c r="L111" s="37">
        <f ca="1" t="shared" si="18"/>
        <v>46011.0207175926</v>
      </c>
    </row>
    <row r="112" ht="15.75" customHeight="1" spans="1:12">
      <c r="A112" t="s">
        <v>76</v>
      </c>
      <c r="B112" t="s">
        <v>72</v>
      </c>
      <c r="C112" t="s">
        <v>24</v>
      </c>
      <c r="D112" t="s">
        <v>18</v>
      </c>
      <c r="E112">
        <v>980.18</v>
      </c>
      <c r="F112">
        <v>16</v>
      </c>
      <c r="G112" s="29">
        <v>0.1</v>
      </c>
      <c r="H112" s="32">
        <v>45582</v>
      </c>
      <c r="I112">
        <v>352.86</v>
      </c>
      <c r="J112">
        <f t="shared" si="16"/>
        <v>5014.96</v>
      </c>
      <c r="K112">
        <f t="shared" si="17"/>
        <v>882.162</v>
      </c>
      <c r="L112" s="37">
        <f ca="1" t="shared" si="18"/>
        <v>46011.0207175926</v>
      </c>
    </row>
    <row r="113" ht="15.75" customHeight="1" spans="1:12">
      <c r="A113" t="s">
        <v>80</v>
      </c>
      <c r="B113" t="s">
        <v>29</v>
      </c>
      <c r="C113" t="s">
        <v>17</v>
      </c>
      <c r="D113" t="s">
        <v>21</v>
      </c>
      <c r="E113">
        <v>697.57</v>
      </c>
      <c r="F113">
        <v>17</v>
      </c>
      <c r="G113" s="29">
        <v>0.1</v>
      </c>
      <c r="H113" s="32">
        <v>45584</v>
      </c>
      <c r="I113">
        <v>313.91</v>
      </c>
      <c r="J113">
        <f t="shared" si="16"/>
        <v>20774.74</v>
      </c>
      <c r="K113">
        <f t="shared" si="17"/>
        <v>627.813</v>
      </c>
      <c r="L113" s="37">
        <f ca="1" t="shared" ref="L113:L122" si="19">NOW()</f>
        <v>46011.0207175926</v>
      </c>
    </row>
    <row r="114" ht="15.75" customHeight="1" spans="1:12">
      <c r="A114" t="s">
        <v>52</v>
      </c>
      <c r="B114" t="s">
        <v>77</v>
      </c>
      <c r="C114" t="s">
        <v>17</v>
      </c>
      <c r="D114" t="s">
        <v>33</v>
      </c>
      <c r="E114">
        <v>1193.61</v>
      </c>
      <c r="F114">
        <v>1</v>
      </c>
      <c r="G114" s="29">
        <v>0.15</v>
      </c>
      <c r="H114" s="32">
        <v>45584</v>
      </c>
      <c r="I114">
        <v>355.1</v>
      </c>
      <c r="J114">
        <f t="shared" si="16"/>
        <v>5465.71</v>
      </c>
      <c r="K114">
        <f t="shared" si="17"/>
        <v>1014.5685</v>
      </c>
      <c r="L114" s="37">
        <f ca="1" t="shared" si="19"/>
        <v>46011.0207175926</v>
      </c>
    </row>
    <row r="115" ht="15.75" customHeight="1" spans="1:12">
      <c r="A115" t="s">
        <v>38</v>
      </c>
      <c r="B115" t="s">
        <v>44</v>
      </c>
      <c r="C115" t="s">
        <v>26</v>
      </c>
      <c r="D115" t="s">
        <v>27</v>
      </c>
      <c r="E115">
        <v>771.02</v>
      </c>
      <c r="F115">
        <v>1</v>
      </c>
      <c r="G115" s="29">
        <v>0</v>
      </c>
      <c r="H115" s="32">
        <v>45585</v>
      </c>
      <c r="I115">
        <v>192.76</v>
      </c>
      <c r="J115">
        <f t="shared" si="16"/>
        <v>11398.32</v>
      </c>
      <c r="K115">
        <f t="shared" si="17"/>
        <v>771.02</v>
      </c>
      <c r="L115" s="37">
        <f ca="1" t="shared" si="19"/>
        <v>46011.0207175926</v>
      </c>
    </row>
    <row r="116" ht="15.75" customHeight="1" spans="1:12">
      <c r="A116" t="s">
        <v>73</v>
      </c>
      <c r="B116" t="s">
        <v>75</v>
      </c>
      <c r="C116" t="s">
        <v>30</v>
      </c>
      <c r="D116" t="s">
        <v>21</v>
      </c>
      <c r="E116">
        <v>661.09</v>
      </c>
      <c r="F116">
        <v>1</v>
      </c>
      <c r="G116" s="29">
        <v>0.2</v>
      </c>
      <c r="H116" s="32">
        <v>45593</v>
      </c>
      <c r="I116">
        <v>264.44</v>
      </c>
      <c r="J116">
        <f t="shared" si="16"/>
        <v>2304.9</v>
      </c>
      <c r="K116">
        <f t="shared" si="17"/>
        <v>528.872</v>
      </c>
      <c r="L116" s="37">
        <f ca="1" t="shared" si="19"/>
        <v>46011.0207175926</v>
      </c>
    </row>
    <row r="117" ht="15.75" customHeight="1" spans="1:12">
      <c r="A117" t="s">
        <v>19</v>
      </c>
      <c r="B117" t="s">
        <v>61</v>
      </c>
      <c r="C117" t="s">
        <v>17</v>
      </c>
      <c r="D117" t="s">
        <v>27</v>
      </c>
      <c r="E117">
        <v>688.83</v>
      </c>
      <c r="F117">
        <v>15</v>
      </c>
      <c r="G117" s="29">
        <v>0</v>
      </c>
      <c r="H117" s="32">
        <v>45595</v>
      </c>
      <c r="I117">
        <v>172.21</v>
      </c>
      <c r="J117">
        <f t="shared" si="16"/>
        <v>11915.83</v>
      </c>
      <c r="K117">
        <f t="shared" si="17"/>
        <v>688.83</v>
      </c>
      <c r="L117" s="37">
        <f ca="1" t="shared" si="19"/>
        <v>46011.0207175926</v>
      </c>
    </row>
    <row r="118" ht="15.75" customHeight="1" spans="1:12">
      <c r="A118" t="s">
        <v>79</v>
      </c>
      <c r="B118" t="s">
        <v>35</v>
      </c>
      <c r="C118" t="s">
        <v>40</v>
      </c>
      <c r="D118" t="s">
        <v>18</v>
      </c>
      <c r="E118">
        <v>1249.1</v>
      </c>
      <c r="F118">
        <v>4</v>
      </c>
      <c r="G118" s="29">
        <v>0.05</v>
      </c>
      <c r="H118" s="32">
        <v>45597</v>
      </c>
      <c r="I118">
        <v>474.66</v>
      </c>
      <c r="J118">
        <f t="shared" si="16"/>
        <v>9970.2</v>
      </c>
      <c r="K118">
        <f t="shared" si="17"/>
        <v>1186.645</v>
      </c>
      <c r="L118" s="37">
        <f ca="1" t="shared" si="19"/>
        <v>46011.0207175926</v>
      </c>
    </row>
    <row r="119" ht="15.75" customHeight="1" spans="1:12">
      <c r="A119" t="s">
        <v>50</v>
      </c>
      <c r="B119" t="s">
        <v>29</v>
      </c>
      <c r="C119" t="s">
        <v>24</v>
      </c>
      <c r="D119" t="s">
        <v>45</v>
      </c>
      <c r="E119">
        <v>1014.22</v>
      </c>
      <c r="F119">
        <v>14</v>
      </c>
      <c r="G119" s="29">
        <v>0.05</v>
      </c>
      <c r="H119" s="32">
        <v>45599</v>
      </c>
      <c r="I119">
        <v>433.58</v>
      </c>
      <c r="J119">
        <f t="shared" si="16"/>
        <v>20774.74</v>
      </c>
      <c r="K119">
        <f t="shared" si="17"/>
        <v>963.509</v>
      </c>
      <c r="L119" s="37">
        <f ca="1" t="shared" si="19"/>
        <v>46011.0207175926</v>
      </c>
    </row>
    <row r="120" ht="15.75" customHeight="1" spans="1:12">
      <c r="A120" t="s">
        <v>60</v>
      </c>
      <c r="B120" t="s">
        <v>54</v>
      </c>
      <c r="C120" t="s">
        <v>24</v>
      </c>
      <c r="D120" t="s">
        <v>18</v>
      </c>
      <c r="E120">
        <v>1010.58</v>
      </c>
      <c r="F120">
        <v>2</v>
      </c>
      <c r="G120" s="29">
        <v>0.15</v>
      </c>
      <c r="H120" s="32">
        <v>45605</v>
      </c>
      <c r="I120">
        <v>343.6</v>
      </c>
      <c r="J120">
        <f t="shared" si="16"/>
        <v>8090.12</v>
      </c>
      <c r="K120">
        <f t="shared" si="17"/>
        <v>858.993</v>
      </c>
      <c r="L120" s="37">
        <f ca="1" t="shared" si="19"/>
        <v>46011.0207175926</v>
      </c>
    </row>
    <row r="121" ht="15.75" customHeight="1" spans="1:12">
      <c r="A121" t="s">
        <v>36</v>
      </c>
      <c r="B121" t="s">
        <v>65</v>
      </c>
      <c r="C121" t="s">
        <v>30</v>
      </c>
      <c r="D121" t="s">
        <v>33</v>
      </c>
      <c r="E121">
        <v>957.29</v>
      </c>
      <c r="F121">
        <v>4</v>
      </c>
      <c r="G121" s="29">
        <v>0.05</v>
      </c>
      <c r="H121" s="32">
        <v>45605</v>
      </c>
      <c r="I121">
        <v>318.3</v>
      </c>
      <c r="J121">
        <f t="shared" si="16"/>
        <v>5443.34</v>
      </c>
      <c r="K121">
        <f t="shared" si="17"/>
        <v>909.4255</v>
      </c>
      <c r="L121" s="37">
        <f ca="1" t="shared" si="19"/>
        <v>46011.0207175926</v>
      </c>
    </row>
    <row r="122" ht="15.75" customHeight="1" spans="1:12">
      <c r="A122" t="s">
        <v>34</v>
      </c>
      <c r="B122" t="s">
        <v>51</v>
      </c>
      <c r="C122" t="s">
        <v>30</v>
      </c>
      <c r="D122" t="s">
        <v>33</v>
      </c>
      <c r="E122">
        <v>1077.92</v>
      </c>
      <c r="F122">
        <v>3</v>
      </c>
      <c r="G122" s="29">
        <v>0.05</v>
      </c>
      <c r="H122" s="32">
        <v>45608</v>
      </c>
      <c r="I122">
        <v>358.41</v>
      </c>
      <c r="J122">
        <f t="shared" si="16"/>
        <v>8635.95</v>
      </c>
      <c r="K122">
        <f t="shared" si="17"/>
        <v>1024.024</v>
      </c>
      <c r="L122" s="37">
        <f ca="1" t="shared" si="19"/>
        <v>46011.0207175926</v>
      </c>
    </row>
    <row r="123" ht="15.75" customHeight="1" spans="1:12">
      <c r="A123" t="s">
        <v>58</v>
      </c>
      <c r="B123" t="s">
        <v>56</v>
      </c>
      <c r="C123" t="s">
        <v>26</v>
      </c>
      <c r="D123" t="s">
        <v>21</v>
      </c>
      <c r="E123">
        <v>1163.01</v>
      </c>
      <c r="F123">
        <v>5</v>
      </c>
      <c r="G123" s="29">
        <v>0</v>
      </c>
      <c r="H123" s="32">
        <v>45611</v>
      </c>
      <c r="I123">
        <v>581.5</v>
      </c>
      <c r="J123">
        <f t="shared" si="16"/>
        <v>5801.29</v>
      </c>
      <c r="K123">
        <f t="shared" si="17"/>
        <v>1163.01</v>
      </c>
      <c r="L123" s="37">
        <f ca="1" t="shared" ref="L123:L132" si="20">NOW()</f>
        <v>46011.0207175926</v>
      </c>
    </row>
    <row r="124" ht="15.75" customHeight="1" spans="1:12">
      <c r="A124" t="s">
        <v>60</v>
      </c>
      <c r="B124" t="s">
        <v>51</v>
      </c>
      <c r="C124" t="s">
        <v>24</v>
      </c>
      <c r="D124" t="s">
        <v>45</v>
      </c>
      <c r="E124">
        <v>1014.56</v>
      </c>
      <c r="F124">
        <v>10</v>
      </c>
      <c r="G124" s="29">
        <v>0.1</v>
      </c>
      <c r="H124" s="32">
        <v>45612</v>
      </c>
      <c r="I124">
        <v>410.9</v>
      </c>
      <c r="J124">
        <f t="shared" si="16"/>
        <v>8635.95</v>
      </c>
      <c r="K124">
        <f t="shared" si="17"/>
        <v>913.104</v>
      </c>
      <c r="L124" s="37">
        <f ca="1" t="shared" si="20"/>
        <v>46011.0207175926</v>
      </c>
    </row>
    <row r="125" ht="15.75" customHeight="1" spans="1:12">
      <c r="A125" t="s">
        <v>15</v>
      </c>
      <c r="B125" t="s">
        <v>23</v>
      </c>
      <c r="C125" t="s">
        <v>26</v>
      </c>
      <c r="D125" t="s">
        <v>27</v>
      </c>
      <c r="E125">
        <v>718.04</v>
      </c>
      <c r="F125">
        <v>14</v>
      </c>
      <c r="G125" s="29">
        <v>0</v>
      </c>
      <c r="H125" s="32">
        <v>45613</v>
      </c>
      <c r="I125">
        <v>179.51</v>
      </c>
      <c r="J125">
        <f t="shared" si="16"/>
        <v>5615.28</v>
      </c>
      <c r="K125">
        <f t="shared" si="17"/>
        <v>718.04</v>
      </c>
      <c r="L125" s="37">
        <f ca="1" t="shared" si="20"/>
        <v>46011.0207175926</v>
      </c>
    </row>
    <row r="126" ht="15.75" customHeight="1" spans="1:12">
      <c r="A126" t="s">
        <v>78</v>
      </c>
      <c r="B126" t="s">
        <v>23</v>
      </c>
      <c r="C126" t="s">
        <v>40</v>
      </c>
      <c r="D126" t="s">
        <v>21</v>
      </c>
      <c r="E126">
        <v>1277.85</v>
      </c>
      <c r="F126">
        <v>18</v>
      </c>
      <c r="G126" s="29">
        <v>0.2</v>
      </c>
      <c r="H126" s="32">
        <v>45613</v>
      </c>
      <c r="I126">
        <v>511.14</v>
      </c>
      <c r="J126">
        <f t="shared" si="16"/>
        <v>5615.28</v>
      </c>
      <c r="K126">
        <f t="shared" si="17"/>
        <v>1022.28</v>
      </c>
      <c r="L126" s="37">
        <f ca="1" t="shared" si="20"/>
        <v>46011.0207175926</v>
      </c>
    </row>
    <row r="127" ht="15.75" customHeight="1" spans="1:12">
      <c r="A127" t="s">
        <v>76</v>
      </c>
      <c r="B127" t="s">
        <v>29</v>
      </c>
      <c r="C127" t="s">
        <v>30</v>
      </c>
      <c r="D127" t="s">
        <v>27</v>
      </c>
      <c r="E127">
        <v>706.73</v>
      </c>
      <c r="F127">
        <v>1</v>
      </c>
      <c r="G127" s="29">
        <v>0.15</v>
      </c>
      <c r="H127" s="32">
        <v>45613</v>
      </c>
      <c r="I127">
        <v>150.18</v>
      </c>
      <c r="J127">
        <f t="shared" si="16"/>
        <v>20774.74</v>
      </c>
      <c r="K127">
        <f t="shared" si="17"/>
        <v>600.7205</v>
      </c>
      <c r="L127" s="37">
        <f ca="1" t="shared" si="20"/>
        <v>46011.0207175926</v>
      </c>
    </row>
    <row r="128" ht="15.75" customHeight="1" spans="1:12">
      <c r="A128" t="s">
        <v>71</v>
      </c>
      <c r="B128" t="s">
        <v>56</v>
      </c>
      <c r="C128" t="s">
        <v>24</v>
      </c>
      <c r="D128" t="s">
        <v>27</v>
      </c>
      <c r="E128">
        <v>1410.59</v>
      </c>
      <c r="F128">
        <v>15</v>
      </c>
      <c r="G128" s="29">
        <v>0</v>
      </c>
      <c r="H128" s="32">
        <v>45615</v>
      </c>
      <c r="I128">
        <v>352.65</v>
      </c>
      <c r="J128">
        <f t="shared" si="16"/>
        <v>5801.29</v>
      </c>
      <c r="K128">
        <f t="shared" si="17"/>
        <v>1410.59</v>
      </c>
      <c r="L128" s="37">
        <f ca="1" t="shared" si="20"/>
        <v>46011.0207175926</v>
      </c>
    </row>
    <row r="129" ht="15.75" customHeight="1" spans="1:12">
      <c r="A129" t="s">
        <v>38</v>
      </c>
      <c r="B129" t="s">
        <v>67</v>
      </c>
      <c r="C129" t="s">
        <v>26</v>
      </c>
      <c r="D129" t="s">
        <v>33</v>
      </c>
      <c r="E129">
        <v>1350.33</v>
      </c>
      <c r="F129">
        <v>10</v>
      </c>
      <c r="G129" s="29">
        <v>0</v>
      </c>
      <c r="H129" s="32">
        <v>45615</v>
      </c>
      <c r="I129">
        <v>472.62</v>
      </c>
      <c r="J129">
        <f t="shared" si="16"/>
        <v>8543.97</v>
      </c>
      <c r="K129">
        <f t="shared" si="17"/>
        <v>1350.33</v>
      </c>
      <c r="L129" s="37">
        <f ca="1" t="shared" si="20"/>
        <v>46011.0207175926</v>
      </c>
    </row>
    <row r="130" ht="15.75" customHeight="1" spans="1:12">
      <c r="A130" t="s">
        <v>47</v>
      </c>
      <c r="B130" t="s">
        <v>51</v>
      </c>
      <c r="C130" t="s">
        <v>24</v>
      </c>
      <c r="D130" t="s">
        <v>27</v>
      </c>
      <c r="E130">
        <v>919.18</v>
      </c>
      <c r="F130">
        <v>4</v>
      </c>
      <c r="G130" s="29">
        <v>0.15</v>
      </c>
      <c r="H130" s="32">
        <v>45615</v>
      </c>
      <c r="I130">
        <v>195.33</v>
      </c>
      <c r="J130">
        <f t="shared" si="16"/>
        <v>8635.95</v>
      </c>
      <c r="K130">
        <f t="shared" si="17"/>
        <v>781.303</v>
      </c>
      <c r="L130" s="37">
        <f ca="1" t="shared" si="20"/>
        <v>46011.0207175926</v>
      </c>
    </row>
    <row r="131" ht="15.75" customHeight="1" spans="1:12">
      <c r="A131" t="s">
        <v>80</v>
      </c>
      <c r="B131" t="s">
        <v>29</v>
      </c>
      <c r="C131" t="s">
        <v>17</v>
      </c>
      <c r="D131" t="s">
        <v>27</v>
      </c>
      <c r="E131">
        <v>258.51</v>
      </c>
      <c r="F131">
        <v>19</v>
      </c>
      <c r="G131" s="29">
        <v>0</v>
      </c>
      <c r="H131" s="32">
        <v>45616</v>
      </c>
      <c r="I131">
        <v>64.63</v>
      </c>
      <c r="J131">
        <f t="shared" ref="J131:J162" si="21">SUMIFS($E:$E,$B:$B,B131)</f>
        <v>20774.74</v>
      </c>
      <c r="K131">
        <f t="shared" ref="K131:K162" si="22">E131*(1-G131)</f>
        <v>258.51</v>
      </c>
      <c r="L131" s="37">
        <f ca="1" t="shared" si="20"/>
        <v>46011.0207175926</v>
      </c>
    </row>
    <row r="132" ht="15.75" customHeight="1" spans="1:12">
      <c r="A132" t="s">
        <v>69</v>
      </c>
      <c r="B132" t="s">
        <v>67</v>
      </c>
      <c r="C132" t="s">
        <v>24</v>
      </c>
      <c r="D132" t="s">
        <v>18</v>
      </c>
      <c r="E132">
        <v>1213.48</v>
      </c>
      <c r="F132">
        <v>5</v>
      </c>
      <c r="G132" s="29">
        <v>0.05</v>
      </c>
      <c r="H132" s="32">
        <v>45616</v>
      </c>
      <c r="I132">
        <v>461.12</v>
      </c>
      <c r="J132">
        <f t="shared" si="21"/>
        <v>8543.97</v>
      </c>
      <c r="K132">
        <f t="shared" si="22"/>
        <v>1152.806</v>
      </c>
      <c r="L132" s="37">
        <f ca="1" t="shared" si="20"/>
        <v>46011.0207175926</v>
      </c>
    </row>
    <row r="133" ht="15.75" customHeight="1" spans="1:12">
      <c r="A133" t="s">
        <v>63</v>
      </c>
      <c r="B133" t="s">
        <v>44</v>
      </c>
      <c r="C133" t="s">
        <v>40</v>
      </c>
      <c r="D133" t="s">
        <v>18</v>
      </c>
      <c r="E133">
        <v>1150.28</v>
      </c>
      <c r="F133">
        <v>8</v>
      </c>
      <c r="G133" s="29">
        <v>0.05</v>
      </c>
      <c r="H133" s="32">
        <v>45622</v>
      </c>
      <c r="I133">
        <v>437.11</v>
      </c>
      <c r="J133">
        <f t="shared" si="21"/>
        <v>11398.32</v>
      </c>
      <c r="K133">
        <f t="shared" si="22"/>
        <v>1092.766</v>
      </c>
      <c r="L133" s="37">
        <f ca="1" t="shared" ref="L133:L142" si="23">NOW()</f>
        <v>46011.0207175926</v>
      </c>
    </row>
    <row r="134" ht="15.75" customHeight="1" spans="1:12">
      <c r="A134" t="s">
        <v>43</v>
      </c>
      <c r="B134" t="s">
        <v>77</v>
      </c>
      <c r="C134" t="s">
        <v>26</v>
      </c>
      <c r="D134" t="s">
        <v>33</v>
      </c>
      <c r="E134">
        <v>853.86</v>
      </c>
      <c r="F134">
        <v>8</v>
      </c>
      <c r="G134" s="29">
        <v>0.1</v>
      </c>
      <c r="H134" s="32">
        <v>45622</v>
      </c>
      <c r="I134">
        <v>268.97</v>
      </c>
      <c r="J134">
        <f t="shared" si="21"/>
        <v>5465.71</v>
      </c>
      <c r="K134">
        <f t="shared" si="22"/>
        <v>768.474</v>
      </c>
      <c r="L134" s="37">
        <f ca="1" t="shared" si="23"/>
        <v>46011.0207175926</v>
      </c>
    </row>
    <row r="135" ht="15.75" customHeight="1" spans="1:12">
      <c r="A135" t="s">
        <v>81</v>
      </c>
      <c r="B135" t="s">
        <v>51</v>
      </c>
      <c r="C135" t="s">
        <v>26</v>
      </c>
      <c r="D135" t="s">
        <v>27</v>
      </c>
      <c r="E135">
        <v>1061.04</v>
      </c>
      <c r="F135">
        <v>1</v>
      </c>
      <c r="G135" s="29">
        <v>0</v>
      </c>
      <c r="H135" s="32">
        <v>45624</v>
      </c>
      <c r="I135">
        <v>265.26</v>
      </c>
      <c r="J135">
        <f t="shared" si="21"/>
        <v>8635.95</v>
      </c>
      <c r="K135">
        <f t="shared" si="22"/>
        <v>1061.04</v>
      </c>
      <c r="L135" s="37">
        <f ca="1" t="shared" si="23"/>
        <v>46011.0207175926</v>
      </c>
    </row>
    <row r="136" ht="15.75" customHeight="1" spans="1:12">
      <c r="A136" t="s">
        <v>34</v>
      </c>
      <c r="B136" t="s">
        <v>49</v>
      </c>
      <c r="C136" t="s">
        <v>17</v>
      </c>
      <c r="D136" t="s">
        <v>27</v>
      </c>
      <c r="E136">
        <v>894.55</v>
      </c>
      <c r="F136">
        <v>19</v>
      </c>
      <c r="G136" s="29">
        <v>0.2</v>
      </c>
      <c r="H136" s="32">
        <v>45625</v>
      </c>
      <c r="I136">
        <v>178.91</v>
      </c>
      <c r="J136">
        <f t="shared" si="21"/>
        <v>7296.19</v>
      </c>
      <c r="K136">
        <f t="shared" si="22"/>
        <v>715.64</v>
      </c>
      <c r="L136" s="37">
        <f ca="1" t="shared" si="23"/>
        <v>46011.0207175926</v>
      </c>
    </row>
    <row r="137" ht="15.75" customHeight="1" spans="1:12">
      <c r="A137" t="s">
        <v>31</v>
      </c>
      <c r="B137" t="s">
        <v>44</v>
      </c>
      <c r="C137" t="s">
        <v>30</v>
      </c>
      <c r="D137" t="s">
        <v>45</v>
      </c>
      <c r="E137">
        <v>833.91</v>
      </c>
      <c r="F137">
        <v>3</v>
      </c>
      <c r="G137" s="29">
        <v>0.05</v>
      </c>
      <c r="H137" s="32">
        <v>45626</v>
      </c>
      <c r="I137">
        <v>356.5</v>
      </c>
      <c r="J137">
        <f t="shared" si="21"/>
        <v>11398.32</v>
      </c>
      <c r="K137">
        <f t="shared" si="22"/>
        <v>792.2145</v>
      </c>
      <c r="L137" s="37">
        <f ca="1" t="shared" si="23"/>
        <v>46011.0207175926</v>
      </c>
    </row>
    <row r="138" ht="15.75" customHeight="1" spans="1:12">
      <c r="A138" t="s">
        <v>64</v>
      </c>
      <c r="B138" t="s">
        <v>77</v>
      </c>
      <c r="C138" t="s">
        <v>17</v>
      </c>
      <c r="D138" t="s">
        <v>33</v>
      </c>
      <c r="E138">
        <v>820.19</v>
      </c>
      <c r="F138">
        <v>4</v>
      </c>
      <c r="G138" s="29">
        <v>0.2</v>
      </c>
      <c r="H138" s="32">
        <v>45630</v>
      </c>
      <c r="I138">
        <v>229.65</v>
      </c>
      <c r="J138">
        <f t="shared" si="21"/>
        <v>5465.71</v>
      </c>
      <c r="K138">
        <f t="shared" si="22"/>
        <v>656.152</v>
      </c>
      <c r="L138" s="37">
        <f ca="1" t="shared" si="23"/>
        <v>46011.0207175926</v>
      </c>
    </row>
    <row r="139" ht="15.75" customHeight="1" spans="1:12">
      <c r="A139" t="s">
        <v>64</v>
      </c>
      <c r="B139" t="s">
        <v>44</v>
      </c>
      <c r="C139" t="s">
        <v>40</v>
      </c>
      <c r="D139" t="s">
        <v>27</v>
      </c>
      <c r="E139">
        <v>511.74</v>
      </c>
      <c r="F139">
        <v>8</v>
      </c>
      <c r="G139" s="29">
        <v>0.05</v>
      </c>
      <c r="H139" s="32">
        <v>45631</v>
      </c>
      <c r="I139">
        <v>121.54</v>
      </c>
      <c r="J139">
        <f t="shared" si="21"/>
        <v>11398.32</v>
      </c>
      <c r="K139">
        <f t="shared" si="22"/>
        <v>486.153</v>
      </c>
      <c r="L139" s="37">
        <f ca="1" t="shared" si="23"/>
        <v>46011.0207175926</v>
      </c>
    </row>
    <row r="140" ht="15.75" customHeight="1" spans="1:12">
      <c r="A140" t="s">
        <v>71</v>
      </c>
      <c r="B140" t="s">
        <v>67</v>
      </c>
      <c r="C140" t="s">
        <v>26</v>
      </c>
      <c r="D140" t="s">
        <v>33</v>
      </c>
      <c r="E140">
        <v>806.03</v>
      </c>
      <c r="F140">
        <v>19</v>
      </c>
      <c r="G140" s="29">
        <v>0.05</v>
      </c>
      <c r="H140" s="32">
        <v>45638</v>
      </c>
      <c r="I140">
        <v>268</v>
      </c>
      <c r="J140">
        <f t="shared" si="21"/>
        <v>8543.97</v>
      </c>
      <c r="K140">
        <f t="shared" si="22"/>
        <v>765.7285</v>
      </c>
      <c r="L140" s="37">
        <f ca="1" t="shared" si="23"/>
        <v>46011.0207175926</v>
      </c>
    </row>
    <row r="141" ht="15.75" customHeight="1" spans="1:12">
      <c r="A141" t="s">
        <v>34</v>
      </c>
      <c r="B141" t="s">
        <v>32</v>
      </c>
      <c r="C141" t="s">
        <v>40</v>
      </c>
      <c r="D141" t="s">
        <v>33</v>
      </c>
      <c r="E141">
        <v>1432.47</v>
      </c>
      <c r="F141">
        <v>16</v>
      </c>
      <c r="G141" s="29">
        <v>0.15</v>
      </c>
      <c r="H141" s="32">
        <v>45640</v>
      </c>
      <c r="I141">
        <v>426.16</v>
      </c>
      <c r="J141">
        <f t="shared" si="21"/>
        <v>7881.9</v>
      </c>
      <c r="K141">
        <f t="shared" si="22"/>
        <v>1217.5995</v>
      </c>
      <c r="L141" s="37">
        <f ca="1" t="shared" si="23"/>
        <v>46011.0207175926</v>
      </c>
    </row>
    <row r="142" ht="15.75" customHeight="1" spans="1:12">
      <c r="A142" t="s">
        <v>80</v>
      </c>
      <c r="B142" t="s">
        <v>35</v>
      </c>
      <c r="C142" t="s">
        <v>40</v>
      </c>
      <c r="D142" t="s">
        <v>27</v>
      </c>
      <c r="E142">
        <v>1488.58</v>
      </c>
      <c r="F142">
        <v>10</v>
      </c>
      <c r="G142" s="29">
        <v>0.15</v>
      </c>
      <c r="H142" s="32">
        <v>45640</v>
      </c>
      <c r="I142">
        <v>316.32</v>
      </c>
      <c r="J142">
        <f t="shared" si="21"/>
        <v>9970.2</v>
      </c>
      <c r="K142">
        <f t="shared" si="22"/>
        <v>1265.293</v>
      </c>
      <c r="L142" s="37">
        <f ca="1" t="shared" si="23"/>
        <v>46011.0207175926</v>
      </c>
    </row>
    <row r="143" ht="15.75" customHeight="1" spans="1:12">
      <c r="A143" t="s">
        <v>36</v>
      </c>
      <c r="B143" t="s">
        <v>72</v>
      </c>
      <c r="C143" t="s">
        <v>24</v>
      </c>
      <c r="D143" t="s">
        <v>18</v>
      </c>
      <c r="E143">
        <v>1231.26</v>
      </c>
      <c r="F143">
        <v>9</v>
      </c>
      <c r="G143" s="29">
        <v>0</v>
      </c>
      <c r="H143" s="32">
        <v>45646</v>
      </c>
      <c r="I143">
        <v>492.5</v>
      </c>
      <c r="J143">
        <f t="shared" si="21"/>
        <v>5014.96</v>
      </c>
      <c r="K143">
        <f t="shared" si="22"/>
        <v>1231.26</v>
      </c>
      <c r="L143" s="37">
        <f ca="1" t="shared" ref="L143:L152" si="24">NOW()</f>
        <v>46011.0207175926</v>
      </c>
    </row>
    <row r="144" ht="15.75" customHeight="1" spans="1:12">
      <c r="A144" t="s">
        <v>36</v>
      </c>
      <c r="B144" t="s">
        <v>49</v>
      </c>
      <c r="C144" t="s">
        <v>17</v>
      </c>
      <c r="D144" t="s">
        <v>27</v>
      </c>
      <c r="E144">
        <v>1161.67</v>
      </c>
      <c r="F144">
        <v>19</v>
      </c>
      <c r="G144" s="29">
        <v>0.2</v>
      </c>
      <c r="H144" s="32">
        <v>45647</v>
      </c>
      <c r="I144">
        <v>232.33</v>
      </c>
      <c r="J144">
        <f t="shared" si="21"/>
        <v>7296.19</v>
      </c>
      <c r="K144">
        <f t="shared" si="22"/>
        <v>929.336</v>
      </c>
      <c r="L144" s="37">
        <f ca="1" t="shared" si="24"/>
        <v>46011.0207175926</v>
      </c>
    </row>
    <row r="145" ht="15.75" customHeight="1" spans="1:12">
      <c r="A145" t="s">
        <v>55</v>
      </c>
      <c r="B145" t="s">
        <v>51</v>
      </c>
      <c r="C145" t="s">
        <v>40</v>
      </c>
      <c r="D145" t="s">
        <v>45</v>
      </c>
      <c r="E145">
        <v>388.23</v>
      </c>
      <c r="F145">
        <v>16</v>
      </c>
      <c r="G145" s="29">
        <v>0.05</v>
      </c>
      <c r="H145" s="32">
        <v>45650</v>
      </c>
      <c r="I145">
        <v>165.97</v>
      </c>
      <c r="J145">
        <f t="shared" si="21"/>
        <v>8635.95</v>
      </c>
      <c r="K145">
        <f t="shared" si="22"/>
        <v>368.8185</v>
      </c>
      <c r="L145" s="37">
        <f ca="1" t="shared" si="24"/>
        <v>46011.0207175926</v>
      </c>
    </row>
    <row r="146" ht="15.75" customHeight="1" spans="1:12">
      <c r="A146" t="s">
        <v>78</v>
      </c>
      <c r="B146" t="s">
        <v>37</v>
      </c>
      <c r="C146" t="s">
        <v>30</v>
      </c>
      <c r="D146" t="s">
        <v>21</v>
      </c>
      <c r="E146">
        <v>1589.42</v>
      </c>
      <c r="F146">
        <v>6</v>
      </c>
      <c r="G146" s="29">
        <v>0.15</v>
      </c>
      <c r="H146" s="32">
        <v>45651</v>
      </c>
      <c r="I146">
        <v>675.5</v>
      </c>
      <c r="J146">
        <f t="shared" si="21"/>
        <v>17143.29</v>
      </c>
      <c r="K146">
        <f t="shared" si="22"/>
        <v>1351.007</v>
      </c>
      <c r="L146" s="37">
        <f ca="1" t="shared" si="24"/>
        <v>46011.0207175926</v>
      </c>
    </row>
    <row r="147" ht="15.75" customHeight="1" spans="1:12">
      <c r="A147" t="s">
        <v>34</v>
      </c>
      <c r="B147" t="s">
        <v>77</v>
      </c>
      <c r="C147" t="s">
        <v>30</v>
      </c>
      <c r="D147" t="s">
        <v>21</v>
      </c>
      <c r="E147">
        <v>336.66</v>
      </c>
      <c r="F147">
        <v>13</v>
      </c>
      <c r="G147" s="29">
        <v>0.2</v>
      </c>
      <c r="H147" s="32">
        <v>45651</v>
      </c>
      <c r="I147">
        <v>134.66</v>
      </c>
      <c r="J147">
        <f t="shared" si="21"/>
        <v>5465.71</v>
      </c>
      <c r="K147">
        <f t="shared" si="22"/>
        <v>269.328</v>
      </c>
      <c r="L147" s="37">
        <f ca="1" t="shared" si="24"/>
        <v>46011.0207175926</v>
      </c>
    </row>
    <row r="148" ht="15.75" customHeight="1" spans="1:12">
      <c r="A148" t="s">
        <v>55</v>
      </c>
      <c r="B148" t="s">
        <v>29</v>
      </c>
      <c r="C148" t="s">
        <v>17</v>
      </c>
      <c r="D148" t="s">
        <v>18</v>
      </c>
      <c r="E148">
        <v>1353.79</v>
      </c>
      <c r="F148">
        <v>14</v>
      </c>
      <c r="G148" s="29">
        <v>0.1</v>
      </c>
      <c r="H148" s="32">
        <v>45656</v>
      </c>
      <c r="I148">
        <v>487.36</v>
      </c>
      <c r="J148">
        <f t="shared" si="21"/>
        <v>20774.74</v>
      </c>
      <c r="K148">
        <f t="shared" si="22"/>
        <v>1218.411</v>
      </c>
      <c r="L148" s="37">
        <f ca="1" t="shared" si="24"/>
        <v>46011.0207175926</v>
      </c>
    </row>
    <row r="149" ht="15.75" customHeight="1" spans="1:12">
      <c r="A149" t="s">
        <v>69</v>
      </c>
      <c r="B149" t="s">
        <v>75</v>
      </c>
      <c r="C149" t="s">
        <v>40</v>
      </c>
      <c r="D149" t="s">
        <v>21</v>
      </c>
      <c r="E149">
        <v>662.61</v>
      </c>
      <c r="F149">
        <v>11</v>
      </c>
      <c r="G149" s="29">
        <v>0.05</v>
      </c>
      <c r="H149" s="32">
        <v>45658</v>
      </c>
      <c r="I149">
        <v>314.74</v>
      </c>
      <c r="J149">
        <f t="shared" si="21"/>
        <v>2304.9</v>
      </c>
      <c r="K149">
        <f t="shared" si="22"/>
        <v>629.4795</v>
      </c>
      <c r="L149" s="37">
        <f ca="1" t="shared" si="24"/>
        <v>46011.0207175926</v>
      </c>
    </row>
    <row r="150" ht="15.75" customHeight="1" spans="1:12">
      <c r="A150" t="s">
        <v>58</v>
      </c>
      <c r="B150" t="s">
        <v>54</v>
      </c>
      <c r="C150" t="s">
        <v>30</v>
      </c>
      <c r="D150" t="s">
        <v>45</v>
      </c>
      <c r="E150">
        <v>309.42</v>
      </c>
      <c r="F150">
        <v>1</v>
      </c>
      <c r="G150" s="29">
        <v>0.2</v>
      </c>
      <c r="H150" s="32">
        <v>45658</v>
      </c>
      <c r="I150">
        <v>111.39</v>
      </c>
      <c r="J150">
        <f t="shared" si="21"/>
        <v>8090.12</v>
      </c>
      <c r="K150">
        <f t="shared" si="22"/>
        <v>247.536</v>
      </c>
      <c r="L150" s="37">
        <f ca="1" t="shared" si="24"/>
        <v>46011.0207175926</v>
      </c>
    </row>
    <row r="151" ht="15.75" customHeight="1" spans="1:12">
      <c r="A151" t="s">
        <v>69</v>
      </c>
      <c r="B151" t="s">
        <v>35</v>
      </c>
      <c r="C151" t="s">
        <v>30</v>
      </c>
      <c r="D151" t="s">
        <v>18</v>
      </c>
      <c r="E151">
        <v>884.63</v>
      </c>
      <c r="F151">
        <v>18</v>
      </c>
      <c r="G151" s="29">
        <v>0.1</v>
      </c>
      <c r="H151" s="32">
        <v>45659</v>
      </c>
      <c r="I151">
        <v>318.47</v>
      </c>
      <c r="J151">
        <f t="shared" si="21"/>
        <v>9970.2</v>
      </c>
      <c r="K151">
        <f t="shared" si="22"/>
        <v>796.167</v>
      </c>
      <c r="L151" s="37">
        <f ca="1" t="shared" si="24"/>
        <v>46011.0207175926</v>
      </c>
    </row>
    <row r="152" ht="15.75" customHeight="1" spans="1:12">
      <c r="A152" t="s">
        <v>58</v>
      </c>
      <c r="B152" t="s">
        <v>29</v>
      </c>
      <c r="C152" t="s">
        <v>40</v>
      </c>
      <c r="D152" t="s">
        <v>45</v>
      </c>
      <c r="E152">
        <v>745.05</v>
      </c>
      <c r="F152">
        <v>10</v>
      </c>
      <c r="G152" s="29">
        <v>0.1</v>
      </c>
      <c r="H152" s="32">
        <v>45660</v>
      </c>
      <c r="I152">
        <v>301.75</v>
      </c>
      <c r="J152">
        <f t="shared" si="21"/>
        <v>20774.74</v>
      </c>
      <c r="K152">
        <f t="shared" si="22"/>
        <v>670.545</v>
      </c>
      <c r="L152" s="37">
        <f ca="1" t="shared" si="24"/>
        <v>46011.0207175926</v>
      </c>
    </row>
    <row r="153" ht="15.75" customHeight="1" spans="1:12">
      <c r="A153" t="s">
        <v>66</v>
      </c>
      <c r="B153" t="s">
        <v>23</v>
      </c>
      <c r="C153" t="s">
        <v>26</v>
      </c>
      <c r="D153" t="s">
        <v>21</v>
      </c>
      <c r="E153">
        <v>870.23</v>
      </c>
      <c r="F153">
        <v>5</v>
      </c>
      <c r="G153" s="29">
        <v>0.05</v>
      </c>
      <c r="H153" s="32">
        <v>45660</v>
      </c>
      <c r="I153">
        <v>413.36</v>
      </c>
      <c r="J153">
        <f t="shared" si="21"/>
        <v>5615.28</v>
      </c>
      <c r="K153">
        <f t="shared" si="22"/>
        <v>826.7185</v>
      </c>
      <c r="L153" s="37">
        <f ca="1" t="shared" ref="L153:L162" si="25">NOW()</f>
        <v>46011.0207175926</v>
      </c>
    </row>
    <row r="154" ht="15.75" customHeight="1" spans="1:12">
      <c r="A154" t="s">
        <v>41</v>
      </c>
      <c r="B154" t="s">
        <v>35</v>
      </c>
      <c r="C154" t="s">
        <v>17</v>
      </c>
      <c r="D154" t="s">
        <v>33</v>
      </c>
      <c r="E154">
        <v>862.19</v>
      </c>
      <c r="F154">
        <v>18</v>
      </c>
      <c r="G154" s="29">
        <v>0.05</v>
      </c>
      <c r="H154" s="32">
        <v>45663</v>
      </c>
      <c r="I154">
        <v>286.68</v>
      </c>
      <c r="J154">
        <f t="shared" si="21"/>
        <v>9970.2</v>
      </c>
      <c r="K154">
        <f t="shared" si="22"/>
        <v>819.0805</v>
      </c>
      <c r="L154" s="37">
        <f ca="1" t="shared" si="25"/>
        <v>46011.0207175926</v>
      </c>
    </row>
    <row r="155" ht="15.75" customHeight="1" spans="1:12">
      <c r="A155" t="s">
        <v>79</v>
      </c>
      <c r="B155" t="s">
        <v>65</v>
      </c>
      <c r="C155" t="s">
        <v>30</v>
      </c>
      <c r="D155" t="s">
        <v>21</v>
      </c>
      <c r="E155">
        <v>1171.18</v>
      </c>
      <c r="F155">
        <v>19</v>
      </c>
      <c r="G155" s="29">
        <v>0.05</v>
      </c>
      <c r="H155" s="32">
        <v>45667</v>
      </c>
      <c r="I155">
        <v>556.31</v>
      </c>
      <c r="J155">
        <f t="shared" si="21"/>
        <v>5443.34</v>
      </c>
      <c r="K155">
        <f t="shared" si="22"/>
        <v>1112.621</v>
      </c>
      <c r="L155" s="37">
        <f ca="1" t="shared" si="25"/>
        <v>46011.0207175926</v>
      </c>
    </row>
    <row r="156" ht="15.75" customHeight="1" spans="1:12">
      <c r="A156" t="s">
        <v>64</v>
      </c>
      <c r="B156" t="s">
        <v>20</v>
      </c>
      <c r="C156" t="s">
        <v>26</v>
      </c>
      <c r="D156" t="s">
        <v>33</v>
      </c>
      <c r="E156">
        <v>1054.56</v>
      </c>
      <c r="F156">
        <v>11</v>
      </c>
      <c r="G156" s="29">
        <v>0.1</v>
      </c>
      <c r="H156" s="32">
        <v>45669</v>
      </c>
      <c r="I156">
        <v>332.19</v>
      </c>
      <c r="J156">
        <f t="shared" si="21"/>
        <v>8331.85</v>
      </c>
      <c r="K156">
        <f t="shared" si="22"/>
        <v>949.104</v>
      </c>
      <c r="L156" s="37">
        <f ca="1" t="shared" si="25"/>
        <v>46011.0207175926</v>
      </c>
    </row>
    <row r="157" ht="15.75" customHeight="1" spans="1:12">
      <c r="A157" t="s">
        <v>64</v>
      </c>
      <c r="B157" t="s">
        <v>29</v>
      </c>
      <c r="C157" t="s">
        <v>30</v>
      </c>
      <c r="D157" t="s">
        <v>27</v>
      </c>
      <c r="E157">
        <v>1681.21</v>
      </c>
      <c r="F157">
        <v>5</v>
      </c>
      <c r="G157" s="29">
        <v>0.2</v>
      </c>
      <c r="H157" s="32">
        <v>45670</v>
      </c>
      <c r="I157">
        <v>336.24</v>
      </c>
      <c r="J157">
        <f t="shared" si="21"/>
        <v>20774.74</v>
      </c>
      <c r="K157">
        <f t="shared" si="22"/>
        <v>1344.968</v>
      </c>
      <c r="L157" s="37">
        <f ca="1" t="shared" si="25"/>
        <v>46011.0207175926</v>
      </c>
    </row>
    <row r="158" ht="15.75" customHeight="1" spans="1:12">
      <c r="A158" t="s">
        <v>64</v>
      </c>
      <c r="B158" t="s">
        <v>42</v>
      </c>
      <c r="C158" t="s">
        <v>17</v>
      </c>
      <c r="D158" t="s">
        <v>21</v>
      </c>
      <c r="E158">
        <v>379.77</v>
      </c>
      <c r="F158">
        <v>9</v>
      </c>
      <c r="G158" s="29">
        <v>0.05</v>
      </c>
      <c r="H158" s="32">
        <v>45673</v>
      </c>
      <c r="I158">
        <v>180.39</v>
      </c>
      <c r="J158">
        <f t="shared" si="21"/>
        <v>7020.38</v>
      </c>
      <c r="K158">
        <f t="shared" si="22"/>
        <v>360.7815</v>
      </c>
      <c r="L158" s="37">
        <f ca="1" t="shared" si="25"/>
        <v>46011.0207175926</v>
      </c>
    </row>
    <row r="159" ht="15.75" customHeight="1" spans="1:12">
      <c r="A159" t="s">
        <v>50</v>
      </c>
      <c r="B159" t="s">
        <v>51</v>
      </c>
      <c r="C159" t="s">
        <v>40</v>
      </c>
      <c r="D159" t="s">
        <v>21</v>
      </c>
      <c r="E159">
        <v>1076.33</v>
      </c>
      <c r="F159">
        <v>2</v>
      </c>
      <c r="G159" s="29">
        <v>0.1</v>
      </c>
      <c r="H159" s="32">
        <v>45674</v>
      </c>
      <c r="I159">
        <v>484.35</v>
      </c>
      <c r="J159">
        <f t="shared" si="21"/>
        <v>8635.95</v>
      </c>
      <c r="K159">
        <f t="shared" si="22"/>
        <v>968.697</v>
      </c>
      <c r="L159" s="37">
        <f ca="1" t="shared" si="25"/>
        <v>46011.0207175926</v>
      </c>
    </row>
    <row r="160" ht="15.75" customHeight="1" spans="1:12">
      <c r="A160" t="s">
        <v>50</v>
      </c>
      <c r="B160" t="s">
        <v>37</v>
      </c>
      <c r="C160" t="s">
        <v>40</v>
      </c>
      <c r="D160" t="s">
        <v>45</v>
      </c>
      <c r="E160">
        <v>1250.71</v>
      </c>
      <c r="F160">
        <v>7</v>
      </c>
      <c r="G160" s="29">
        <v>0</v>
      </c>
      <c r="H160" s="32">
        <v>45674</v>
      </c>
      <c r="I160">
        <v>562.82</v>
      </c>
      <c r="J160">
        <f t="shared" si="21"/>
        <v>17143.29</v>
      </c>
      <c r="K160">
        <f t="shared" si="22"/>
        <v>1250.71</v>
      </c>
      <c r="L160" s="37">
        <f ca="1" t="shared" si="25"/>
        <v>46011.0207175926</v>
      </c>
    </row>
    <row r="161" ht="15.75" customHeight="1" spans="1:12">
      <c r="A161" t="s">
        <v>46</v>
      </c>
      <c r="B161" t="s">
        <v>23</v>
      </c>
      <c r="C161" t="s">
        <v>26</v>
      </c>
      <c r="D161" t="s">
        <v>21</v>
      </c>
      <c r="E161">
        <v>1118.34</v>
      </c>
      <c r="F161">
        <v>6</v>
      </c>
      <c r="G161" s="29">
        <v>0.2</v>
      </c>
      <c r="H161" s="32">
        <v>45674</v>
      </c>
      <c r="I161">
        <v>447.34</v>
      </c>
      <c r="J161">
        <f t="shared" si="21"/>
        <v>5615.28</v>
      </c>
      <c r="K161">
        <f t="shared" si="22"/>
        <v>894.672</v>
      </c>
      <c r="L161" s="37">
        <f ca="1" t="shared" si="25"/>
        <v>46011.0207175926</v>
      </c>
    </row>
    <row r="162" ht="15.75" customHeight="1" spans="1:12">
      <c r="A162" t="s">
        <v>76</v>
      </c>
      <c r="B162" t="s">
        <v>59</v>
      </c>
      <c r="C162" t="s">
        <v>30</v>
      </c>
      <c r="D162" t="s">
        <v>21</v>
      </c>
      <c r="E162">
        <v>1622.62</v>
      </c>
      <c r="F162">
        <v>12</v>
      </c>
      <c r="G162" s="29">
        <v>0.2</v>
      </c>
      <c r="H162" s="32">
        <v>45677</v>
      </c>
      <c r="I162">
        <v>649.05</v>
      </c>
      <c r="J162">
        <f t="shared" si="21"/>
        <v>7522.77</v>
      </c>
      <c r="K162">
        <f t="shared" si="22"/>
        <v>1298.096</v>
      </c>
      <c r="L162" s="37">
        <f ca="1" t="shared" si="25"/>
        <v>46011.0207175926</v>
      </c>
    </row>
    <row r="163" ht="15.75" customHeight="1" spans="1:12">
      <c r="A163" t="s">
        <v>81</v>
      </c>
      <c r="B163" t="s">
        <v>54</v>
      </c>
      <c r="C163" t="s">
        <v>30</v>
      </c>
      <c r="D163" t="s">
        <v>18</v>
      </c>
      <c r="E163">
        <v>640.64</v>
      </c>
      <c r="F163">
        <v>11</v>
      </c>
      <c r="G163" s="29">
        <v>0.2</v>
      </c>
      <c r="H163" s="32">
        <v>45678</v>
      </c>
      <c r="I163">
        <v>205</v>
      </c>
      <c r="J163">
        <f t="shared" ref="J163:J194" si="26">SUMIFS($E:$E,$B:$B,B163)</f>
        <v>8090.12</v>
      </c>
      <c r="K163">
        <f t="shared" ref="K163:K201" si="27">E163*(1-G163)</f>
        <v>512.512</v>
      </c>
      <c r="L163" s="37">
        <f ca="1" t="shared" ref="L163:L172" si="28">NOW()</f>
        <v>46011.0207175926</v>
      </c>
    </row>
    <row r="164" ht="15.75" customHeight="1" spans="1:12">
      <c r="A164" t="s">
        <v>28</v>
      </c>
      <c r="B164" t="s">
        <v>49</v>
      </c>
      <c r="C164" t="s">
        <v>17</v>
      </c>
      <c r="D164" t="s">
        <v>21</v>
      </c>
      <c r="E164">
        <v>585.16</v>
      </c>
      <c r="F164">
        <v>17</v>
      </c>
      <c r="G164" s="29">
        <v>0.1</v>
      </c>
      <c r="H164" s="32">
        <v>45684</v>
      </c>
      <c r="I164">
        <v>263.32</v>
      </c>
      <c r="J164">
        <f t="shared" si="26"/>
        <v>7296.19</v>
      </c>
      <c r="K164">
        <f t="shared" si="27"/>
        <v>526.644</v>
      </c>
      <c r="L164" s="37">
        <f ca="1" t="shared" si="28"/>
        <v>46011.0207175926</v>
      </c>
    </row>
    <row r="165" ht="15.75" customHeight="1" spans="1:12">
      <c r="A165" t="s">
        <v>28</v>
      </c>
      <c r="B165" t="s">
        <v>37</v>
      </c>
      <c r="C165" t="s">
        <v>24</v>
      </c>
      <c r="D165" t="s">
        <v>21</v>
      </c>
      <c r="E165">
        <v>1109.98</v>
      </c>
      <c r="F165">
        <v>5</v>
      </c>
      <c r="G165" s="29">
        <v>0.2</v>
      </c>
      <c r="H165" s="32">
        <v>45690</v>
      </c>
      <c r="I165">
        <v>443.99</v>
      </c>
      <c r="J165">
        <f t="shared" si="26"/>
        <v>17143.29</v>
      </c>
      <c r="K165">
        <f t="shared" si="27"/>
        <v>887.984</v>
      </c>
      <c r="L165" s="37">
        <f ca="1" t="shared" si="28"/>
        <v>46011.0207175926</v>
      </c>
    </row>
    <row r="166" ht="15.75" customHeight="1" spans="1:12">
      <c r="A166" t="s">
        <v>64</v>
      </c>
      <c r="B166" t="s">
        <v>51</v>
      </c>
      <c r="C166" t="s">
        <v>24</v>
      </c>
      <c r="D166" t="s">
        <v>18</v>
      </c>
      <c r="E166">
        <v>1098.08</v>
      </c>
      <c r="F166">
        <v>9</v>
      </c>
      <c r="G166" s="29">
        <v>0.1</v>
      </c>
      <c r="H166" s="32">
        <v>45692</v>
      </c>
      <c r="I166">
        <v>395.31</v>
      </c>
      <c r="J166">
        <f t="shared" si="26"/>
        <v>8635.95</v>
      </c>
      <c r="K166">
        <f t="shared" si="27"/>
        <v>988.272</v>
      </c>
      <c r="L166" s="37">
        <f ca="1" t="shared" si="28"/>
        <v>46011.0207175926</v>
      </c>
    </row>
    <row r="167" ht="15.75" customHeight="1" spans="1:12">
      <c r="A167" t="s">
        <v>71</v>
      </c>
      <c r="B167" t="s">
        <v>54</v>
      </c>
      <c r="C167" t="s">
        <v>17</v>
      </c>
      <c r="D167" t="s">
        <v>45</v>
      </c>
      <c r="E167">
        <v>827.25</v>
      </c>
      <c r="F167">
        <v>7</v>
      </c>
      <c r="G167" s="29">
        <v>0.1</v>
      </c>
      <c r="H167" s="32">
        <v>45693</v>
      </c>
      <c r="I167">
        <v>335.04</v>
      </c>
      <c r="J167">
        <f t="shared" si="26"/>
        <v>8090.12</v>
      </c>
      <c r="K167">
        <f t="shared" si="27"/>
        <v>744.525</v>
      </c>
      <c r="L167" s="37">
        <f ca="1" t="shared" si="28"/>
        <v>46011.0207175926</v>
      </c>
    </row>
    <row r="168" ht="15.75" customHeight="1" spans="1:12">
      <c r="A168" t="s">
        <v>76</v>
      </c>
      <c r="B168" t="s">
        <v>35</v>
      </c>
      <c r="C168" t="s">
        <v>40</v>
      </c>
      <c r="D168" t="s">
        <v>21</v>
      </c>
      <c r="E168">
        <v>741.88</v>
      </c>
      <c r="F168">
        <v>16</v>
      </c>
      <c r="G168" s="29">
        <v>0.1</v>
      </c>
      <c r="H168" s="32">
        <v>45695</v>
      </c>
      <c r="I168">
        <v>333.85</v>
      </c>
      <c r="J168">
        <f t="shared" si="26"/>
        <v>9970.2</v>
      </c>
      <c r="K168">
        <f t="shared" si="27"/>
        <v>667.692</v>
      </c>
      <c r="L168" s="37">
        <f ca="1" t="shared" si="28"/>
        <v>46011.0207175926</v>
      </c>
    </row>
    <row r="169" ht="15.75" customHeight="1" spans="1:12">
      <c r="A169" t="s">
        <v>78</v>
      </c>
      <c r="B169" t="s">
        <v>16</v>
      </c>
      <c r="C169" t="s">
        <v>24</v>
      </c>
      <c r="D169" t="s">
        <v>45</v>
      </c>
      <c r="E169">
        <v>1311.26</v>
      </c>
      <c r="F169">
        <v>6</v>
      </c>
      <c r="G169" s="29">
        <v>0.1</v>
      </c>
      <c r="H169" s="32">
        <v>45698</v>
      </c>
      <c r="I169">
        <v>531.06</v>
      </c>
      <c r="J169">
        <f t="shared" si="26"/>
        <v>6255.7</v>
      </c>
      <c r="K169">
        <f t="shared" si="27"/>
        <v>1180.134</v>
      </c>
      <c r="L169" s="37">
        <f ca="1" t="shared" si="28"/>
        <v>46011.0207175926</v>
      </c>
    </row>
    <row r="170" ht="15.75" customHeight="1" spans="1:12">
      <c r="A170" t="s">
        <v>78</v>
      </c>
      <c r="B170" t="s">
        <v>37</v>
      </c>
      <c r="C170" t="s">
        <v>26</v>
      </c>
      <c r="D170" t="s">
        <v>45</v>
      </c>
      <c r="E170">
        <v>573.32</v>
      </c>
      <c r="F170">
        <v>19</v>
      </c>
      <c r="G170" s="29">
        <v>0.1</v>
      </c>
      <c r="H170" s="32">
        <v>45703</v>
      </c>
      <c r="I170">
        <v>232.19</v>
      </c>
      <c r="J170">
        <f t="shared" si="26"/>
        <v>17143.29</v>
      </c>
      <c r="K170">
        <f t="shared" si="27"/>
        <v>515.988</v>
      </c>
      <c r="L170" s="37">
        <f ca="1" t="shared" si="28"/>
        <v>46011.0207175926</v>
      </c>
    </row>
    <row r="171" ht="15.75" customHeight="1" spans="1:12">
      <c r="A171" t="s">
        <v>58</v>
      </c>
      <c r="B171" t="s">
        <v>29</v>
      </c>
      <c r="C171" t="s">
        <v>17</v>
      </c>
      <c r="D171" t="s">
        <v>27</v>
      </c>
      <c r="E171">
        <v>1115.22</v>
      </c>
      <c r="F171">
        <v>14</v>
      </c>
      <c r="G171" s="29">
        <v>0.2</v>
      </c>
      <c r="H171" s="32">
        <v>45705</v>
      </c>
      <c r="I171">
        <v>223.04</v>
      </c>
      <c r="J171">
        <f t="shared" si="26"/>
        <v>20774.74</v>
      </c>
      <c r="K171">
        <f t="shared" si="27"/>
        <v>892.176</v>
      </c>
      <c r="L171" s="37">
        <f ca="1" t="shared" si="28"/>
        <v>46011.0207175926</v>
      </c>
    </row>
    <row r="172" ht="15.75" customHeight="1" spans="1:12">
      <c r="A172" t="s">
        <v>19</v>
      </c>
      <c r="B172" t="s">
        <v>51</v>
      </c>
      <c r="C172" t="s">
        <v>30</v>
      </c>
      <c r="D172" t="s">
        <v>21</v>
      </c>
      <c r="E172">
        <v>845.84</v>
      </c>
      <c r="F172">
        <v>4</v>
      </c>
      <c r="G172" s="29">
        <v>0</v>
      </c>
      <c r="H172" s="32">
        <v>45707</v>
      </c>
      <c r="I172">
        <v>422.92</v>
      </c>
      <c r="J172">
        <f t="shared" si="26"/>
        <v>8635.95</v>
      </c>
      <c r="K172">
        <f t="shared" si="27"/>
        <v>845.84</v>
      </c>
      <c r="L172" s="37">
        <f ca="1" t="shared" si="28"/>
        <v>46011.0207175926</v>
      </c>
    </row>
    <row r="173" ht="15.75" customHeight="1" spans="1:12">
      <c r="A173" t="s">
        <v>36</v>
      </c>
      <c r="B173" t="s">
        <v>61</v>
      </c>
      <c r="C173" t="s">
        <v>17</v>
      </c>
      <c r="D173" t="s">
        <v>27</v>
      </c>
      <c r="E173">
        <v>1029.8</v>
      </c>
      <c r="F173">
        <v>3</v>
      </c>
      <c r="G173" s="29">
        <v>0</v>
      </c>
      <c r="H173" s="32">
        <v>45708</v>
      </c>
      <c r="I173">
        <v>257.45</v>
      </c>
      <c r="J173">
        <f t="shared" si="26"/>
        <v>11915.83</v>
      </c>
      <c r="K173">
        <f t="shared" si="27"/>
        <v>1029.8</v>
      </c>
      <c r="L173" s="37">
        <f ca="1" t="shared" ref="L173:L182" si="29">NOW()</f>
        <v>46011.0207175926</v>
      </c>
    </row>
    <row r="174" ht="15.75" customHeight="1" spans="1:12">
      <c r="A174" t="s">
        <v>38</v>
      </c>
      <c r="B174" t="s">
        <v>37</v>
      </c>
      <c r="C174" t="s">
        <v>30</v>
      </c>
      <c r="D174" t="s">
        <v>18</v>
      </c>
      <c r="E174">
        <v>1189.83</v>
      </c>
      <c r="F174">
        <v>2</v>
      </c>
      <c r="G174" s="29">
        <v>0.2</v>
      </c>
      <c r="H174" s="32">
        <v>45709</v>
      </c>
      <c r="I174">
        <v>380.75</v>
      </c>
      <c r="J174">
        <f t="shared" si="26"/>
        <v>17143.29</v>
      </c>
      <c r="K174">
        <f t="shared" si="27"/>
        <v>951.864</v>
      </c>
      <c r="L174" s="37">
        <f ca="1" t="shared" si="29"/>
        <v>46011.0207175926</v>
      </c>
    </row>
    <row r="175" ht="15.75" customHeight="1" spans="1:12">
      <c r="A175" t="s">
        <v>73</v>
      </c>
      <c r="B175" t="s">
        <v>49</v>
      </c>
      <c r="C175" t="s">
        <v>26</v>
      </c>
      <c r="D175" t="s">
        <v>18</v>
      </c>
      <c r="E175">
        <v>704.28</v>
      </c>
      <c r="F175">
        <v>15</v>
      </c>
      <c r="G175" s="29">
        <v>0.2</v>
      </c>
      <c r="H175" s="32">
        <v>45712</v>
      </c>
      <c r="I175">
        <v>225.37</v>
      </c>
      <c r="J175">
        <f t="shared" si="26"/>
        <v>7296.19</v>
      </c>
      <c r="K175">
        <f t="shared" si="27"/>
        <v>563.424</v>
      </c>
      <c r="L175" s="37">
        <f ca="1" t="shared" si="29"/>
        <v>46011.0207175926</v>
      </c>
    </row>
    <row r="176" ht="15.75" customHeight="1" spans="1:12">
      <c r="A176" t="s">
        <v>71</v>
      </c>
      <c r="B176" t="s">
        <v>53</v>
      </c>
      <c r="C176" t="s">
        <v>40</v>
      </c>
      <c r="D176" t="s">
        <v>45</v>
      </c>
      <c r="E176">
        <v>1618.22</v>
      </c>
      <c r="F176">
        <v>12</v>
      </c>
      <c r="G176" s="29">
        <v>0.2</v>
      </c>
      <c r="H176" s="32">
        <v>45712</v>
      </c>
      <c r="I176">
        <v>582.56</v>
      </c>
      <c r="J176">
        <f t="shared" si="26"/>
        <v>7251.18</v>
      </c>
      <c r="K176">
        <f t="shared" si="27"/>
        <v>1294.576</v>
      </c>
      <c r="L176" s="37">
        <f ca="1" t="shared" si="29"/>
        <v>46011.0207175926</v>
      </c>
    </row>
    <row r="177" ht="15.75" customHeight="1" spans="1:12">
      <c r="A177" t="s">
        <v>79</v>
      </c>
      <c r="B177" t="s">
        <v>59</v>
      </c>
      <c r="C177" t="s">
        <v>40</v>
      </c>
      <c r="D177" t="s">
        <v>18</v>
      </c>
      <c r="E177">
        <v>1014.43</v>
      </c>
      <c r="F177">
        <v>2</v>
      </c>
      <c r="G177" s="29">
        <v>0.15</v>
      </c>
      <c r="H177" s="32">
        <v>45713</v>
      </c>
      <c r="I177">
        <v>344.91</v>
      </c>
      <c r="J177">
        <f t="shared" si="26"/>
        <v>7522.77</v>
      </c>
      <c r="K177">
        <f t="shared" si="27"/>
        <v>862.2655</v>
      </c>
      <c r="L177" s="37">
        <f ca="1" t="shared" si="29"/>
        <v>46011.0207175926</v>
      </c>
    </row>
    <row r="178" ht="15.75" customHeight="1" spans="1:12">
      <c r="A178" t="s">
        <v>81</v>
      </c>
      <c r="B178" t="s">
        <v>37</v>
      </c>
      <c r="C178" t="s">
        <v>40</v>
      </c>
      <c r="D178" t="s">
        <v>21</v>
      </c>
      <c r="E178">
        <v>826.97</v>
      </c>
      <c r="F178">
        <v>18</v>
      </c>
      <c r="G178" s="29">
        <v>0.2</v>
      </c>
      <c r="H178" s="32">
        <v>45715</v>
      </c>
      <c r="I178">
        <v>330.79</v>
      </c>
      <c r="J178">
        <f t="shared" si="26"/>
        <v>17143.29</v>
      </c>
      <c r="K178">
        <f t="shared" si="27"/>
        <v>661.576</v>
      </c>
      <c r="L178" s="37">
        <f ca="1" t="shared" si="29"/>
        <v>46011.0207175926</v>
      </c>
    </row>
    <row r="179" ht="15.75" customHeight="1" spans="1:12">
      <c r="A179" t="s">
        <v>22</v>
      </c>
      <c r="B179" t="s">
        <v>37</v>
      </c>
      <c r="C179" t="s">
        <v>40</v>
      </c>
      <c r="D179" t="s">
        <v>21</v>
      </c>
      <c r="E179">
        <v>1022.23</v>
      </c>
      <c r="F179">
        <v>8</v>
      </c>
      <c r="G179" s="29">
        <v>0.1</v>
      </c>
      <c r="H179" s="32">
        <v>45717</v>
      </c>
      <c r="I179">
        <v>460</v>
      </c>
      <c r="J179">
        <f t="shared" si="26"/>
        <v>17143.29</v>
      </c>
      <c r="K179">
        <f t="shared" si="27"/>
        <v>920.007</v>
      </c>
      <c r="L179" s="37">
        <f ca="1" t="shared" si="29"/>
        <v>46011.0207175926</v>
      </c>
    </row>
    <row r="180" ht="15.75" customHeight="1" spans="1:12">
      <c r="A180" t="s">
        <v>78</v>
      </c>
      <c r="B180" t="s">
        <v>35</v>
      </c>
      <c r="C180" t="s">
        <v>24</v>
      </c>
      <c r="D180" t="s">
        <v>18</v>
      </c>
      <c r="E180">
        <v>1099.69</v>
      </c>
      <c r="F180">
        <v>6</v>
      </c>
      <c r="G180" s="29">
        <v>0</v>
      </c>
      <c r="H180" s="32">
        <v>45718</v>
      </c>
      <c r="I180">
        <v>439.88</v>
      </c>
      <c r="J180">
        <f t="shared" si="26"/>
        <v>9970.2</v>
      </c>
      <c r="K180">
        <f t="shared" si="27"/>
        <v>1099.69</v>
      </c>
      <c r="L180" s="37">
        <f ca="1" t="shared" si="29"/>
        <v>46011.0207175926</v>
      </c>
    </row>
    <row r="181" ht="15.75" customHeight="1" spans="1:12">
      <c r="A181" t="s">
        <v>58</v>
      </c>
      <c r="B181" t="s">
        <v>70</v>
      </c>
      <c r="C181" t="s">
        <v>30</v>
      </c>
      <c r="D181" t="s">
        <v>18</v>
      </c>
      <c r="E181">
        <v>710.52</v>
      </c>
      <c r="F181">
        <v>8</v>
      </c>
      <c r="G181" s="29">
        <v>0.1</v>
      </c>
      <c r="H181" s="32">
        <v>45721</v>
      </c>
      <c r="I181">
        <v>255.79</v>
      </c>
      <c r="J181">
        <f t="shared" si="26"/>
        <v>5771.59</v>
      </c>
      <c r="K181">
        <f t="shared" si="27"/>
        <v>639.468</v>
      </c>
      <c r="L181" s="37">
        <f ca="1" t="shared" si="29"/>
        <v>46011.0207175926</v>
      </c>
    </row>
    <row r="182" ht="15.75" customHeight="1" spans="1:12">
      <c r="A182" t="s">
        <v>58</v>
      </c>
      <c r="B182" t="s">
        <v>65</v>
      </c>
      <c r="C182" t="s">
        <v>30</v>
      </c>
      <c r="D182" t="s">
        <v>18</v>
      </c>
      <c r="E182">
        <v>499.18</v>
      </c>
      <c r="F182">
        <v>15</v>
      </c>
      <c r="G182" s="29">
        <v>0.2</v>
      </c>
      <c r="H182" s="32">
        <v>45724</v>
      </c>
      <c r="I182">
        <v>159.74</v>
      </c>
      <c r="J182">
        <f t="shared" si="26"/>
        <v>5443.34</v>
      </c>
      <c r="K182">
        <f t="shared" si="27"/>
        <v>399.344</v>
      </c>
      <c r="L182" s="37">
        <f ca="1" t="shared" si="29"/>
        <v>46011.0207175926</v>
      </c>
    </row>
    <row r="183" ht="15.75" customHeight="1" spans="1:12">
      <c r="A183" t="s">
        <v>43</v>
      </c>
      <c r="B183" t="s">
        <v>44</v>
      </c>
      <c r="C183" t="s">
        <v>26</v>
      </c>
      <c r="D183" t="s">
        <v>18</v>
      </c>
      <c r="E183">
        <v>1064.19</v>
      </c>
      <c r="F183">
        <v>18</v>
      </c>
      <c r="G183" s="29">
        <v>0.05</v>
      </c>
      <c r="H183" s="32">
        <v>45725</v>
      </c>
      <c r="I183">
        <v>404.39</v>
      </c>
      <c r="J183">
        <f t="shared" si="26"/>
        <v>11398.32</v>
      </c>
      <c r="K183">
        <f t="shared" si="27"/>
        <v>1010.9805</v>
      </c>
      <c r="L183" s="37">
        <f ca="1" t="shared" ref="L183:L192" si="30">NOW()</f>
        <v>46011.0207175926</v>
      </c>
    </row>
    <row r="184" ht="15.75" customHeight="1" spans="1:12">
      <c r="A184" t="s">
        <v>73</v>
      </c>
      <c r="B184" t="s">
        <v>44</v>
      </c>
      <c r="C184" t="s">
        <v>24</v>
      </c>
      <c r="D184" t="s">
        <v>45</v>
      </c>
      <c r="E184">
        <v>438.76</v>
      </c>
      <c r="F184">
        <v>18</v>
      </c>
      <c r="G184" s="29">
        <v>0.05</v>
      </c>
      <c r="H184" s="32">
        <v>45726</v>
      </c>
      <c r="I184">
        <v>187.57</v>
      </c>
      <c r="J184">
        <f t="shared" si="26"/>
        <v>11398.32</v>
      </c>
      <c r="K184">
        <f t="shared" si="27"/>
        <v>416.822</v>
      </c>
      <c r="L184" s="37">
        <f ca="1" t="shared" si="30"/>
        <v>46011.0207175926</v>
      </c>
    </row>
    <row r="185" ht="15.75" customHeight="1" spans="1:12">
      <c r="A185" t="s">
        <v>47</v>
      </c>
      <c r="B185" t="s">
        <v>61</v>
      </c>
      <c r="C185" t="s">
        <v>17</v>
      </c>
      <c r="D185" t="s">
        <v>21</v>
      </c>
      <c r="E185">
        <v>864.98</v>
      </c>
      <c r="F185">
        <v>2</v>
      </c>
      <c r="G185" s="29">
        <v>0.05</v>
      </c>
      <c r="H185" s="32">
        <v>45727</v>
      </c>
      <c r="I185">
        <v>410.87</v>
      </c>
      <c r="J185">
        <f t="shared" si="26"/>
        <v>11915.83</v>
      </c>
      <c r="K185">
        <f t="shared" si="27"/>
        <v>821.731</v>
      </c>
      <c r="L185" s="37">
        <f ca="1" t="shared" si="30"/>
        <v>46011.0207175926</v>
      </c>
    </row>
    <row r="186" ht="15.75" customHeight="1" spans="1:12">
      <c r="A186" t="s">
        <v>63</v>
      </c>
      <c r="B186" t="s">
        <v>61</v>
      </c>
      <c r="C186" t="s">
        <v>17</v>
      </c>
      <c r="D186" t="s">
        <v>33</v>
      </c>
      <c r="E186">
        <v>984.93</v>
      </c>
      <c r="F186">
        <v>14</v>
      </c>
      <c r="G186" s="29">
        <v>0.2</v>
      </c>
      <c r="H186" s="32">
        <v>45733</v>
      </c>
      <c r="I186">
        <v>275.78</v>
      </c>
      <c r="J186">
        <f t="shared" si="26"/>
        <v>11915.83</v>
      </c>
      <c r="K186">
        <f t="shared" si="27"/>
        <v>787.944</v>
      </c>
      <c r="L186" s="37">
        <f ca="1" t="shared" si="30"/>
        <v>46011.0207175926</v>
      </c>
    </row>
    <row r="187" ht="15.75" customHeight="1" spans="1:12">
      <c r="A187" t="s">
        <v>31</v>
      </c>
      <c r="B187" t="s">
        <v>61</v>
      </c>
      <c r="C187" t="s">
        <v>17</v>
      </c>
      <c r="D187" t="s">
        <v>21</v>
      </c>
      <c r="E187">
        <v>1493.49</v>
      </c>
      <c r="F187">
        <v>18</v>
      </c>
      <c r="G187" s="29">
        <v>0</v>
      </c>
      <c r="H187" s="32">
        <v>45734</v>
      </c>
      <c r="I187">
        <v>746.74</v>
      </c>
      <c r="J187">
        <f t="shared" si="26"/>
        <v>11915.83</v>
      </c>
      <c r="K187">
        <f t="shared" si="27"/>
        <v>1493.49</v>
      </c>
      <c r="L187" s="37">
        <f ca="1" t="shared" si="30"/>
        <v>46011.0207175926</v>
      </c>
    </row>
    <row r="188" ht="15.75" customHeight="1" spans="1:12">
      <c r="A188" t="s">
        <v>38</v>
      </c>
      <c r="B188" t="s">
        <v>59</v>
      </c>
      <c r="C188" t="s">
        <v>26</v>
      </c>
      <c r="D188" t="s">
        <v>21</v>
      </c>
      <c r="E188">
        <v>689.43</v>
      </c>
      <c r="F188">
        <v>9</v>
      </c>
      <c r="G188" s="29">
        <v>0.1</v>
      </c>
      <c r="H188" s="32">
        <v>45736</v>
      </c>
      <c r="I188">
        <v>310.24</v>
      </c>
      <c r="J188">
        <f t="shared" si="26"/>
        <v>7522.77</v>
      </c>
      <c r="K188">
        <f t="shared" si="27"/>
        <v>620.487</v>
      </c>
      <c r="L188" s="37">
        <f ca="1" t="shared" si="30"/>
        <v>46011.0207175926</v>
      </c>
    </row>
    <row r="189" ht="15.75" customHeight="1" spans="1:12">
      <c r="A189" t="s">
        <v>46</v>
      </c>
      <c r="B189" t="s">
        <v>65</v>
      </c>
      <c r="C189" t="s">
        <v>26</v>
      </c>
      <c r="D189" t="s">
        <v>21</v>
      </c>
      <c r="E189">
        <v>682.24</v>
      </c>
      <c r="F189">
        <v>1</v>
      </c>
      <c r="G189" s="29">
        <v>0</v>
      </c>
      <c r="H189" s="32">
        <v>45738</v>
      </c>
      <c r="I189">
        <v>341.12</v>
      </c>
      <c r="J189">
        <f t="shared" si="26"/>
        <v>5443.34</v>
      </c>
      <c r="K189">
        <f t="shared" si="27"/>
        <v>682.24</v>
      </c>
      <c r="L189" s="37">
        <f ca="1" t="shared" si="30"/>
        <v>46011.0207175926</v>
      </c>
    </row>
    <row r="190" ht="15.75" customHeight="1" spans="1:12">
      <c r="A190" t="s">
        <v>47</v>
      </c>
      <c r="B190" t="s">
        <v>32</v>
      </c>
      <c r="C190" t="s">
        <v>30</v>
      </c>
      <c r="D190" t="s">
        <v>27</v>
      </c>
      <c r="E190">
        <v>458.54</v>
      </c>
      <c r="F190">
        <v>15</v>
      </c>
      <c r="G190" s="29">
        <v>0.2</v>
      </c>
      <c r="H190" s="32">
        <v>45741</v>
      </c>
      <c r="I190">
        <v>91.71</v>
      </c>
      <c r="J190">
        <f t="shared" si="26"/>
        <v>7881.9</v>
      </c>
      <c r="K190">
        <f t="shared" si="27"/>
        <v>366.832</v>
      </c>
      <c r="L190" s="37">
        <f ca="1" t="shared" si="30"/>
        <v>46011.0207175926</v>
      </c>
    </row>
    <row r="191" ht="15.75" customHeight="1" spans="1:12">
      <c r="A191" t="s">
        <v>38</v>
      </c>
      <c r="B191" t="s">
        <v>32</v>
      </c>
      <c r="C191" t="s">
        <v>26</v>
      </c>
      <c r="D191" t="s">
        <v>33</v>
      </c>
      <c r="E191">
        <v>1184.25</v>
      </c>
      <c r="F191">
        <v>11</v>
      </c>
      <c r="G191" s="29">
        <v>0.2</v>
      </c>
      <c r="H191" s="32">
        <v>45742</v>
      </c>
      <c r="I191">
        <v>331.59</v>
      </c>
      <c r="J191">
        <f t="shared" si="26"/>
        <v>7881.9</v>
      </c>
      <c r="K191">
        <f t="shared" si="27"/>
        <v>947.4</v>
      </c>
      <c r="L191" s="37">
        <f ca="1" t="shared" si="30"/>
        <v>46011.0207175926</v>
      </c>
    </row>
    <row r="192" ht="15.75" customHeight="1" spans="1:12">
      <c r="A192" t="s">
        <v>31</v>
      </c>
      <c r="B192" t="s">
        <v>16</v>
      </c>
      <c r="C192" t="s">
        <v>26</v>
      </c>
      <c r="D192" t="s">
        <v>21</v>
      </c>
      <c r="E192">
        <v>762.14</v>
      </c>
      <c r="F192">
        <v>9</v>
      </c>
      <c r="G192" s="29">
        <v>0</v>
      </c>
      <c r="H192" s="32">
        <v>45743</v>
      </c>
      <c r="I192">
        <v>381.07</v>
      </c>
      <c r="J192">
        <f t="shared" si="26"/>
        <v>6255.7</v>
      </c>
      <c r="K192">
        <f t="shared" si="27"/>
        <v>762.14</v>
      </c>
      <c r="L192" s="37">
        <f ca="1" t="shared" si="30"/>
        <v>46011.0207175926</v>
      </c>
    </row>
    <row r="193" ht="15.75" customHeight="1" spans="1:12">
      <c r="A193" t="s">
        <v>28</v>
      </c>
      <c r="B193" t="s">
        <v>59</v>
      </c>
      <c r="C193" t="s">
        <v>30</v>
      </c>
      <c r="D193" t="s">
        <v>18</v>
      </c>
      <c r="E193">
        <v>750.71</v>
      </c>
      <c r="F193">
        <v>10</v>
      </c>
      <c r="G193" s="29">
        <v>0.15</v>
      </c>
      <c r="H193" s="32">
        <v>45743</v>
      </c>
      <c r="I193">
        <v>255.24</v>
      </c>
      <c r="J193">
        <f t="shared" si="26"/>
        <v>7522.77</v>
      </c>
      <c r="K193">
        <f t="shared" si="27"/>
        <v>638.1035</v>
      </c>
      <c r="L193" s="37">
        <f ca="1" t="shared" ref="L193:L201" si="31">NOW()</f>
        <v>46011.0207175926</v>
      </c>
    </row>
    <row r="194" ht="15.75" customHeight="1" spans="1:12">
      <c r="A194" t="s">
        <v>81</v>
      </c>
      <c r="B194" t="s">
        <v>77</v>
      </c>
      <c r="C194" t="s">
        <v>40</v>
      </c>
      <c r="D194" t="s">
        <v>21</v>
      </c>
      <c r="E194">
        <v>1456.94</v>
      </c>
      <c r="F194">
        <v>14</v>
      </c>
      <c r="G194" s="29">
        <v>0.05</v>
      </c>
      <c r="H194" s="32">
        <v>45745</v>
      </c>
      <c r="I194">
        <v>692.05</v>
      </c>
      <c r="J194">
        <f t="shared" si="26"/>
        <v>5465.71</v>
      </c>
      <c r="K194">
        <f t="shared" si="27"/>
        <v>1384.093</v>
      </c>
      <c r="L194" s="37">
        <f ca="1" t="shared" si="31"/>
        <v>46011.0207175926</v>
      </c>
    </row>
    <row r="195" ht="15.75" customHeight="1" spans="1:12">
      <c r="A195" t="s">
        <v>50</v>
      </c>
      <c r="B195" t="s">
        <v>67</v>
      </c>
      <c r="C195" t="s">
        <v>24</v>
      </c>
      <c r="D195" t="s">
        <v>33</v>
      </c>
      <c r="E195">
        <v>1093.38</v>
      </c>
      <c r="F195">
        <v>17</v>
      </c>
      <c r="G195" s="29">
        <v>0.1</v>
      </c>
      <c r="H195" s="32">
        <v>45745</v>
      </c>
      <c r="I195">
        <v>344.41</v>
      </c>
      <c r="J195">
        <f>SUMIFS($E:$E,$B:$B,B195)</f>
        <v>8543.97</v>
      </c>
      <c r="K195">
        <f t="shared" si="27"/>
        <v>984.042</v>
      </c>
      <c r="L195" s="37">
        <f ca="1" t="shared" si="31"/>
        <v>46011.0207175926</v>
      </c>
    </row>
    <row r="196" ht="15.75" customHeight="1" spans="1:12">
      <c r="A196" t="s">
        <v>43</v>
      </c>
      <c r="B196" t="s">
        <v>49</v>
      </c>
      <c r="C196" t="s">
        <v>17</v>
      </c>
      <c r="D196" t="s">
        <v>21</v>
      </c>
      <c r="E196">
        <v>934.27</v>
      </c>
      <c r="F196">
        <v>8</v>
      </c>
      <c r="G196" s="29">
        <v>0.15</v>
      </c>
      <c r="H196" s="32">
        <v>45746</v>
      </c>
      <c r="I196">
        <v>397.06</v>
      </c>
      <c r="J196">
        <f>SUMIFS($E:$E,$B:$B,B196)</f>
        <v>7296.19</v>
      </c>
      <c r="K196">
        <f t="shared" si="27"/>
        <v>794.1295</v>
      </c>
      <c r="L196" s="37">
        <f ca="1" t="shared" si="31"/>
        <v>46011.0207175926</v>
      </c>
    </row>
    <row r="197" ht="15.75" customHeight="1" spans="1:12">
      <c r="A197" t="s">
        <v>76</v>
      </c>
      <c r="B197" t="s">
        <v>42</v>
      </c>
      <c r="C197" t="s">
        <v>40</v>
      </c>
      <c r="D197" t="s">
        <v>21</v>
      </c>
      <c r="E197">
        <v>1465.35</v>
      </c>
      <c r="F197">
        <v>8</v>
      </c>
      <c r="G197" s="29">
        <v>0.2</v>
      </c>
      <c r="H197" s="32">
        <v>45746</v>
      </c>
      <c r="I197">
        <v>586.14</v>
      </c>
      <c r="J197">
        <f>SUMIFS($E:$E,$B:$B,B197)</f>
        <v>7020.38</v>
      </c>
      <c r="K197">
        <f t="shared" si="27"/>
        <v>1172.28</v>
      </c>
      <c r="L197" s="37">
        <f ca="1" t="shared" si="31"/>
        <v>46011.0207175926</v>
      </c>
    </row>
    <row r="198" ht="15.75" customHeight="1" spans="1:12">
      <c r="A198" t="s">
        <v>58</v>
      </c>
      <c r="B198" t="s">
        <v>20</v>
      </c>
      <c r="C198" t="s">
        <v>26</v>
      </c>
      <c r="D198" t="s">
        <v>45</v>
      </c>
      <c r="E198">
        <v>740.8</v>
      </c>
      <c r="F198">
        <v>3</v>
      </c>
      <c r="G198" s="29">
        <v>0</v>
      </c>
      <c r="H198" s="32">
        <v>45749</v>
      </c>
      <c r="I198">
        <v>333.36</v>
      </c>
      <c r="J198">
        <f>SUMIFS($E:$E,$B:$B,B198)</f>
        <v>8331.85</v>
      </c>
      <c r="K198">
        <f t="shared" si="27"/>
        <v>740.8</v>
      </c>
      <c r="L198" s="37">
        <f ca="1" t="shared" si="31"/>
        <v>46011.0207175926</v>
      </c>
    </row>
    <row r="199" ht="15.75" customHeight="1" spans="1:12">
      <c r="A199" t="s">
        <v>64</v>
      </c>
      <c r="B199" t="s">
        <v>49</v>
      </c>
      <c r="C199" t="s">
        <v>17</v>
      </c>
      <c r="D199" t="s">
        <v>45</v>
      </c>
      <c r="E199">
        <v>545.44</v>
      </c>
      <c r="F199">
        <v>17</v>
      </c>
      <c r="G199" s="29">
        <v>0</v>
      </c>
      <c r="H199" s="32">
        <v>45752</v>
      </c>
      <c r="I199">
        <v>245.45</v>
      </c>
      <c r="J199">
        <f>SUMIFS($E:$E,$B:$B,B199)</f>
        <v>7296.19</v>
      </c>
      <c r="K199">
        <f t="shared" si="27"/>
        <v>545.44</v>
      </c>
      <c r="L199" s="37">
        <f ca="1" t="shared" si="31"/>
        <v>46011.0207175926</v>
      </c>
    </row>
    <row r="200" ht="15.75" customHeight="1" spans="1:12">
      <c r="A200" t="s">
        <v>41</v>
      </c>
      <c r="B200" t="s">
        <v>42</v>
      </c>
      <c r="C200" t="s">
        <v>24</v>
      </c>
      <c r="D200" t="s">
        <v>18</v>
      </c>
      <c r="E200">
        <v>997.61</v>
      </c>
      <c r="F200">
        <v>8</v>
      </c>
      <c r="G200" s="29">
        <v>0.05</v>
      </c>
      <c r="H200" s="32">
        <v>45752</v>
      </c>
      <c r="I200">
        <v>379.09</v>
      </c>
      <c r="J200">
        <f>SUMIFS($E:$E,$B:$B,B200)</f>
        <v>7020.38</v>
      </c>
      <c r="K200">
        <f t="shared" si="27"/>
        <v>947.7295</v>
      </c>
      <c r="L200" s="37">
        <f ca="1" t="shared" si="31"/>
        <v>46011.0207175926</v>
      </c>
    </row>
    <row r="201" ht="15.75" customHeight="1" spans="1:12">
      <c r="A201" t="s">
        <v>66</v>
      </c>
      <c r="B201" t="s">
        <v>42</v>
      </c>
      <c r="C201" t="s">
        <v>26</v>
      </c>
      <c r="D201" t="s">
        <v>21</v>
      </c>
      <c r="E201">
        <v>928.32</v>
      </c>
      <c r="F201">
        <v>2</v>
      </c>
      <c r="G201" s="29">
        <v>0.05</v>
      </c>
      <c r="H201" s="32">
        <v>45754</v>
      </c>
      <c r="I201">
        <v>440.95</v>
      </c>
      <c r="J201">
        <f>SUMIFS($E:$E,$B:$B,B201)</f>
        <v>7020.38</v>
      </c>
      <c r="K201">
        <f t="shared" si="27"/>
        <v>881.904</v>
      </c>
      <c r="L201" s="37">
        <f ca="1" t="shared" si="31"/>
        <v>46011.0207175926</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topLeftCell="A11" workbookViewId="0">
      <selection activeCell="D19" sqref="D19:F31"/>
    </sheetView>
  </sheetViews>
  <sheetFormatPr defaultColWidth="8.88888888888889" defaultRowHeight="14.4" outlineLevelCol="7"/>
  <cols>
    <col min="1" max="1" width="20.6666666666667" customWidth="1"/>
    <col min="2" max="2" width="18.1111111111111" customWidth="1"/>
    <col min="3" max="3" width="15" customWidth="1"/>
    <col min="4" max="4" width="17"/>
    <col min="5" max="5" width="12.6666666666667"/>
    <col min="6" max="6" width="20.8888888888889" customWidth="1"/>
  </cols>
  <sheetData>
    <row r="1" ht="25.8" spans="1:8">
      <c r="A1" s="15"/>
      <c r="B1" s="15"/>
      <c r="C1" s="15"/>
      <c r="D1" s="15"/>
      <c r="E1" s="15"/>
      <c r="F1" s="15"/>
      <c r="G1" s="15"/>
      <c r="H1" s="15"/>
    </row>
    <row r="4" ht="18" spans="1:4">
      <c r="A4" s="23" t="s">
        <v>82</v>
      </c>
      <c r="B4" s="24" t="s">
        <v>11</v>
      </c>
      <c r="C4" s="25"/>
      <c r="D4" s="5"/>
    </row>
    <row r="5" ht="15.6" spans="1:6">
      <c r="A5" t="str" cm="1">
        <f t="array" ref="A5:A32">_xlfn.UNIQUE(Dataset!B2:B1000)</f>
        <v>James Davis</v>
      </c>
      <c r="B5" s="26">
        <f>SUMIF(Dataset!$B:$B,A5,Dataset!$E:$E)</f>
        <v>6255.7</v>
      </c>
      <c r="D5" s="27" t="s">
        <v>83</v>
      </c>
      <c r="E5" s="27" t="s">
        <v>84</v>
      </c>
      <c r="F5" s="27" t="s">
        <v>3</v>
      </c>
    </row>
    <row r="6" ht="15.6" spans="1:6">
      <c r="A6" t="str">
        <v>Robert Anderson</v>
      </c>
      <c r="B6" s="26">
        <f>SUMIF(Dataset!$B:$B,A6,Dataset!$E:$E)</f>
        <v>8331.85</v>
      </c>
      <c r="D6" s="28">
        <v>1</v>
      </c>
      <c r="E6" s="28">
        <f>LARGE(A5:B54,D6)</f>
        <v>20774.74</v>
      </c>
      <c r="F6" s="28" t="str">
        <f t="shared" ref="F6:F15" si="0">INDEX(A5:B54,MATCH(E6,B5:B54,0),1)</f>
        <v>James Wilson</v>
      </c>
    </row>
    <row r="7" ht="15.6" spans="1:6">
      <c r="A7" t="str">
        <v>James Taylor</v>
      </c>
      <c r="B7" s="26">
        <f>SUMIF(Dataset!$B:$B,A7,Dataset!$E:$E)</f>
        <v>5615.28</v>
      </c>
      <c r="D7" s="28">
        <v>2</v>
      </c>
      <c r="E7" s="28">
        <f t="shared" ref="E7:E15" si="1">LARGE(A6:B55,D7)</f>
        <v>17143.29</v>
      </c>
      <c r="F7" s="28" t="str">
        <f t="shared" si="0"/>
        <v>Mary Davis</v>
      </c>
    </row>
    <row r="8" ht="15.6" spans="1:6">
      <c r="A8" t="str">
        <v>James Wilson</v>
      </c>
      <c r="B8" s="26">
        <f>SUMIF(Dataset!$B:$B,A8,Dataset!$E:$E)</f>
        <v>20774.74</v>
      </c>
      <c r="D8" s="28">
        <v>3</v>
      </c>
      <c r="E8" s="28">
        <f t="shared" si="1"/>
        <v>11915.83</v>
      </c>
      <c r="F8" s="28" t="str">
        <f t="shared" si="0"/>
        <v>David Brown</v>
      </c>
    </row>
    <row r="9" ht="15.6" spans="1:6">
      <c r="A9" t="str">
        <v>Michael Anderson</v>
      </c>
      <c r="B9" s="26">
        <f>SUMIF(Dataset!$B:$B,A9,Dataset!$E:$E)</f>
        <v>7881.9</v>
      </c>
      <c r="D9" s="28">
        <v>4</v>
      </c>
      <c r="E9" s="28">
        <f t="shared" si="1"/>
        <v>11398.32</v>
      </c>
      <c r="F9" s="28" t="str">
        <f t="shared" si="0"/>
        <v>Emma Davis</v>
      </c>
    </row>
    <row r="10" ht="15.6" spans="1:6">
      <c r="A10" t="str">
        <v>Linda Wilson</v>
      </c>
      <c r="B10" s="26">
        <f>SUMIF(Dataset!$B:$B,A10,Dataset!$E:$E)</f>
        <v>9970.2</v>
      </c>
      <c r="D10" s="28">
        <v>5</v>
      </c>
      <c r="E10" s="28">
        <f t="shared" si="1"/>
        <v>8635.95</v>
      </c>
      <c r="F10" s="28" t="str">
        <f t="shared" si="0"/>
        <v>Lisa Thomas</v>
      </c>
    </row>
    <row r="11" ht="15.6" spans="1:6">
      <c r="A11" t="str">
        <v>Mary Davis</v>
      </c>
      <c r="B11" s="26">
        <f>SUMIF(Dataset!$B:$B,A11,Dataset!$E:$E)</f>
        <v>17143.29</v>
      </c>
      <c r="D11" s="28">
        <v>6</v>
      </c>
      <c r="E11" s="28">
        <f t="shared" si="1"/>
        <v>8543.97</v>
      </c>
      <c r="F11" s="28" t="str">
        <f t="shared" si="0"/>
        <v>Emma Wilson</v>
      </c>
    </row>
    <row r="12" ht="15.6" spans="1:6">
      <c r="A12" t="str">
        <v>Linda Jackson</v>
      </c>
      <c r="B12" s="26">
        <f>SUMIF(Dataset!$B:$B,A12,Dataset!$E:$E)</f>
        <v>3968.59</v>
      </c>
      <c r="D12" s="28">
        <v>7</v>
      </c>
      <c r="E12" s="28">
        <f t="shared" si="1"/>
        <v>7522.77</v>
      </c>
      <c r="F12" s="28" t="str">
        <f t="shared" si="0"/>
        <v>Linda Taylor</v>
      </c>
    </row>
    <row r="13" ht="15.6" spans="1:6">
      <c r="A13" t="str">
        <v>David Thomas</v>
      </c>
      <c r="B13" s="26">
        <f>SUMIF(Dataset!$B:$B,A13,Dataset!$E:$E)</f>
        <v>7020.38</v>
      </c>
      <c r="D13" s="28">
        <v>8</v>
      </c>
      <c r="E13" s="28">
        <f t="shared" si="1"/>
        <v>7251.18</v>
      </c>
      <c r="F13" s="28" t="str">
        <f t="shared" si="0"/>
        <v>Mary Jackson</v>
      </c>
    </row>
    <row r="14" ht="15.6" spans="1:6">
      <c r="A14" t="str">
        <v>Emma Davis</v>
      </c>
      <c r="B14" s="26">
        <f>SUMIF(Dataset!$B:$B,A14,Dataset!$E:$E)</f>
        <v>11398.32</v>
      </c>
      <c r="D14" s="28">
        <v>9</v>
      </c>
      <c r="E14" s="28">
        <f t="shared" si="1"/>
        <v>7020.38</v>
      </c>
      <c r="F14" s="28" t="str">
        <f t="shared" si="0"/>
        <v>David Thomas</v>
      </c>
    </row>
    <row r="15" ht="15.6" spans="1:6">
      <c r="A15" t="str">
        <v>David Smith</v>
      </c>
      <c r="B15" s="26">
        <f>SUMIF(Dataset!$B:$B,A15,Dataset!$E:$E)</f>
        <v>1672.88</v>
      </c>
      <c r="D15" s="28">
        <v>10</v>
      </c>
      <c r="E15" s="28">
        <f t="shared" si="1"/>
        <v>5771.59</v>
      </c>
      <c r="F15" s="28" t="str">
        <f t="shared" si="0"/>
        <v>Sarah Davis</v>
      </c>
    </row>
    <row r="16" spans="1:2">
      <c r="A16" t="str">
        <v>Sarah Anderson</v>
      </c>
      <c r="B16" s="26">
        <f>SUMIF(Dataset!$B:$B,A16,Dataset!$E:$E)</f>
        <v>7296.19</v>
      </c>
    </row>
    <row r="17" spans="1:2">
      <c r="A17" t="str">
        <v>Lisa Thomas</v>
      </c>
      <c r="B17" s="26">
        <f>SUMIF(Dataset!$B:$B,A17,Dataset!$E:$E)</f>
        <v>8635.95</v>
      </c>
    </row>
    <row r="18" spans="1:2">
      <c r="A18" t="str">
        <v>Mary Jackson</v>
      </c>
      <c r="B18" s="26">
        <f>SUMIF(Dataset!$B:$B,A18,Dataset!$E:$E)</f>
        <v>7251.18</v>
      </c>
    </row>
    <row r="19" spans="1:2">
      <c r="A19" t="str">
        <v>Lisa Davis</v>
      </c>
      <c r="B19" s="26">
        <f>SUMIF(Dataset!$B:$B,A19,Dataset!$E:$E)</f>
        <v>8090.12</v>
      </c>
    </row>
    <row r="20" spans="1:4">
      <c r="A20" t="str">
        <v>Linda Brown</v>
      </c>
      <c r="B20" s="26">
        <f>SUMIF(Dataset!$B:$B,A20,Dataset!$E:$E)</f>
        <v>5801.29</v>
      </c>
      <c r="D20" s="3"/>
    </row>
    <row r="21" spans="1:4">
      <c r="A21" t="str">
        <v>John Brown</v>
      </c>
      <c r="B21" s="26">
        <f>SUMIF(Dataset!$B:$B,A21,Dataset!$E:$E)</f>
        <v>1450.99</v>
      </c>
      <c r="D21" s="3"/>
    </row>
    <row r="22" spans="1:4">
      <c r="A22" t="str">
        <v>Linda Taylor</v>
      </c>
      <c r="B22" s="26">
        <f>SUMIF(Dataset!$B:$B,A22,Dataset!$E:$E)</f>
        <v>7522.77</v>
      </c>
      <c r="D22" s="3"/>
    </row>
    <row r="23" spans="1:4">
      <c r="A23" t="str">
        <v>David Brown</v>
      </c>
      <c r="B23" s="26">
        <f>SUMIF(Dataset!$B:$B,A23,Dataset!$E:$E)</f>
        <v>11915.83</v>
      </c>
      <c r="D23" s="3"/>
    </row>
    <row r="24" spans="1:4">
      <c r="A24" t="str">
        <v>David Davis</v>
      </c>
      <c r="B24" s="26">
        <f>SUMIF(Dataset!$B:$B,A24,Dataset!$E:$E)</f>
        <v>3819.14</v>
      </c>
      <c r="D24" s="3"/>
    </row>
    <row r="25" spans="1:4">
      <c r="A25" t="str">
        <v>Mary Wilson</v>
      </c>
      <c r="B25" s="26">
        <f>SUMIF(Dataset!$B:$B,A25,Dataset!$E:$E)</f>
        <v>5443.34</v>
      </c>
      <c r="D25" s="3"/>
    </row>
    <row r="26" spans="1:4">
      <c r="A26" t="str">
        <v>Emma Wilson</v>
      </c>
      <c r="B26" s="26">
        <f>SUMIF(Dataset!$B:$B,A26,Dataset!$E:$E)</f>
        <v>8543.97</v>
      </c>
      <c r="D26" s="3"/>
    </row>
    <row r="27" spans="1:4">
      <c r="A27" t="str">
        <v>Linda Davis</v>
      </c>
      <c r="B27" s="26">
        <f>SUMIF(Dataset!$B:$B,A27,Dataset!$E:$E)</f>
        <v>856.7</v>
      </c>
      <c r="D27" s="3"/>
    </row>
    <row r="28" spans="1:4">
      <c r="A28" t="str">
        <v>Sarah Davis</v>
      </c>
      <c r="B28" s="26">
        <f>SUMIF(Dataset!$B:$B,A28,Dataset!$E:$E)</f>
        <v>5771.59</v>
      </c>
      <c r="D28" s="3"/>
    </row>
    <row r="29" spans="1:4">
      <c r="A29" t="str">
        <v>Emma Taylor</v>
      </c>
      <c r="B29" s="26">
        <f>SUMIF(Dataset!$B:$B,A29,Dataset!$E:$E)</f>
        <v>5014.96</v>
      </c>
      <c r="D29" s="3"/>
    </row>
    <row r="30" spans="1:4">
      <c r="A30" t="str">
        <v>Linda Moore</v>
      </c>
      <c r="B30" s="26">
        <f>SUMIF(Dataset!$B:$B,A30,Dataset!$E:$E)</f>
        <v>2304.9</v>
      </c>
      <c r="D30" s="3"/>
    </row>
    <row r="31" spans="1:2">
      <c r="A31" t="str">
        <v>David Anderson</v>
      </c>
      <c r="B31" s="26">
        <f>SUMIF(Dataset!$B:$B,A31,Dataset!$E:$E)</f>
        <v>5465.71</v>
      </c>
    </row>
    <row r="32" spans="1:1">
      <c r="A32">
        <v>0</v>
      </c>
    </row>
  </sheetData>
  <conditionalFormatting sqref="B5:B31">
    <cfRule type="top10" dxfId="5" priority="4" rank="10"/>
    <cfRule type="top10" priority="3" rank="10"/>
    <cfRule type="top10" dxfId="6" priority="2" rank="10"/>
  </conditionalFormatting>
  <conditionalFormatting sqref="E20:E29">
    <cfRule type="dataBar" priority="1">
      <dataBar>
        <cfvo type="min"/>
        <cfvo type="max"/>
        <color rgb="FF638EC6"/>
      </dataBar>
      <extLst>
        <ext xmlns:x14="http://schemas.microsoft.com/office/spreadsheetml/2009/9/main" uri="{B025F937-C7B1-47D3-B67F-A62EFF666E3E}">
          <x14:id>{ab1405eb-e546-4232-a858-00d49721fe51}</x14:id>
        </ext>
      </extLst>
    </cfRule>
  </conditionalFormatting>
  <pageMargins left="0.75" right="0.75" top="1" bottom="1" header="0.5" footer="0.5"/>
  <headerFooter/>
  <drawing r:id="rId1"/>
  <extLst>
    <ext xmlns:x14="http://schemas.microsoft.com/office/spreadsheetml/2009/9/main" uri="{78C0D931-6437-407d-A8EE-F0AAD7539E65}">
      <x14:conditionalFormattings>
        <x14:conditionalFormatting xmlns:xm="http://schemas.microsoft.com/office/excel/2006/main">
          <x14:cfRule type="dataBar" id="{ab1405eb-e546-4232-a858-00d49721fe51}">
            <x14:dataBar minLength="0" maxLength="100" border="1" negativeBarBorderColorSameAsPositive="0">
              <x14:cfvo type="autoMin"/>
              <x14:cfvo type="autoMax"/>
              <x14:borderColor rgb="FF638EC6"/>
              <x14:negativeFillColor rgb="FFFF0000"/>
              <x14:negativeBorderColor rgb="FFFF0000"/>
              <x14:axisColor rgb="FF000000"/>
            </x14:dataBar>
          </x14:cfRule>
          <xm:sqref>E20:E29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workbookViewId="0">
      <selection activeCell="A1" sqref="$A1:$XFD1"/>
    </sheetView>
  </sheetViews>
  <sheetFormatPr defaultColWidth="8.88888888888889" defaultRowHeight="14.4" outlineLevelCol="7"/>
  <cols>
    <col min="1" max="1" width="18.7777777777778" customWidth="1"/>
    <col min="2" max="2" width="9.55555555555556"/>
    <col min="5" max="5" width="10.8888888888889" customWidth="1"/>
    <col min="6" max="6" width="11.1111111111111" customWidth="1"/>
    <col min="7" max="7" width="18.4444444444444" customWidth="1"/>
  </cols>
  <sheetData>
    <row r="1" ht="25.8" spans="1:1">
      <c r="A1" s="15"/>
    </row>
    <row r="2" ht="15.6" spans="1:2">
      <c r="A2" s="16" t="s">
        <v>6</v>
      </c>
      <c r="B2" s="17">
        <v>10000</v>
      </c>
    </row>
    <row r="3" ht="15.6" spans="1:2">
      <c r="A3" s="16" t="s">
        <v>8</v>
      </c>
      <c r="B3" s="17">
        <v>0.1</v>
      </c>
    </row>
    <row r="4" ht="15.6" spans="1:2">
      <c r="A4" s="16" t="s">
        <v>85</v>
      </c>
      <c r="B4" s="18">
        <f>B2*(1-B3)</f>
        <v>9000</v>
      </c>
    </row>
    <row r="6" ht="15.6" spans="1:8">
      <c r="A6" s="16" t="s">
        <v>86</v>
      </c>
      <c r="B6" s="16" t="s">
        <v>87</v>
      </c>
      <c r="E6" s="16" t="s">
        <v>88</v>
      </c>
      <c r="F6" s="16" t="s">
        <v>8</v>
      </c>
      <c r="G6" s="16" t="s">
        <v>89</v>
      </c>
      <c r="H6" s="19"/>
    </row>
    <row r="7" ht="15.6" spans="1:7">
      <c r="A7" s="20">
        <v>0</v>
      </c>
      <c r="B7" s="17">
        <f>$B$2-($B$2*A7)</f>
        <v>10000</v>
      </c>
      <c r="E7" s="16" t="s">
        <v>90</v>
      </c>
      <c r="F7" s="21">
        <v>0.05</v>
      </c>
      <c r="G7" s="22">
        <f>$B$2-($B$2*F7)</f>
        <v>9500</v>
      </c>
    </row>
    <row r="8" ht="15.6" spans="1:7">
      <c r="A8" s="20">
        <v>0.05</v>
      </c>
      <c r="B8" s="17">
        <f>$B$2-($B$2*A8)</f>
        <v>9500</v>
      </c>
      <c r="E8" s="16" t="s">
        <v>91</v>
      </c>
      <c r="F8" s="21">
        <v>0.1</v>
      </c>
      <c r="G8" s="22">
        <f>$B$2-($B$2*F8)</f>
        <v>9000</v>
      </c>
    </row>
    <row r="9" ht="15.6" spans="1:7">
      <c r="A9" s="20">
        <v>0.1</v>
      </c>
      <c r="B9" s="17">
        <f>$B$2-($B$2*A9)</f>
        <v>9000</v>
      </c>
      <c r="E9" s="16" t="s">
        <v>92</v>
      </c>
      <c r="F9" s="21">
        <v>0.25</v>
      </c>
      <c r="G9" s="22">
        <f>$B$2-($B$2*F9)</f>
        <v>7500</v>
      </c>
    </row>
    <row r="10" ht="15.6" spans="1:2">
      <c r="A10" s="20">
        <v>0.15</v>
      </c>
      <c r="B10" s="17">
        <f>$B$2-($B$2*A10)</f>
        <v>8500</v>
      </c>
    </row>
    <row r="11" ht="15.6" spans="1:2">
      <c r="A11" s="20">
        <v>0.2</v>
      </c>
      <c r="B11" s="17">
        <f>$B$2-($B$2*A11)</f>
        <v>8000</v>
      </c>
    </row>
    <row r="12" ht="15.6" spans="1:2">
      <c r="A12" s="20">
        <v>0.25</v>
      </c>
      <c r="B12" s="17">
        <f>$B$2-($B$2*A12)</f>
        <v>7500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P21" sqref="P21"/>
    </sheetView>
  </sheetViews>
  <sheetFormatPr defaultColWidth="8.88888888888889" defaultRowHeight="14.4" outlineLevelCol="3"/>
  <cols>
    <col min="1" max="1" width="12.6666666666667" customWidth="1"/>
    <col min="2" max="2" width="16.1111111111111" customWidth="1"/>
    <col min="3" max="3" width="16.2222222222222" customWidth="1"/>
  </cols>
  <sheetData>
    <row r="1" ht="21" spans="1:1">
      <c r="A1" s="4"/>
    </row>
    <row r="4" spans="1:4">
      <c r="A4" s="9" t="s">
        <v>93</v>
      </c>
      <c r="B4" s="9" t="s">
        <v>94</v>
      </c>
      <c r="C4" s="9" t="s">
        <v>95</v>
      </c>
      <c r="D4" s="10"/>
    </row>
    <row r="5" spans="1:3">
      <c r="A5" s="11" t="s">
        <v>96</v>
      </c>
      <c r="B5" s="12">
        <v>14914.65</v>
      </c>
      <c r="C5" s="12">
        <v>5763.4</v>
      </c>
    </row>
    <row r="6" spans="1:3">
      <c r="A6" s="11" t="s">
        <v>97</v>
      </c>
      <c r="B6" s="12">
        <v>14006.36</v>
      </c>
      <c r="C6" s="12">
        <v>5039.23</v>
      </c>
    </row>
    <row r="7" spans="1:3">
      <c r="A7" s="11" t="s">
        <v>98</v>
      </c>
      <c r="B7" s="12">
        <v>17655.22</v>
      </c>
      <c r="C7" s="12">
        <v>7071.39</v>
      </c>
    </row>
    <row r="8" spans="1:3">
      <c r="A8" s="11" t="s">
        <v>99</v>
      </c>
      <c r="B8" s="12">
        <v>22242.13</v>
      </c>
      <c r="C8" s="12">
        <v>7642.86</v>
      </c>
    </row>
    <row r="9" spans="1:3">
      <c r="A9" s="11" t="s">
        <v>100</v>
      </c>
      <c r="B9" s="12">
        <v>18507.34</v>
      </c>
      <c r="C9" s="12">
        <v>6121.35</v>
      </c>
    </row>
    <row r="10" spans="1:3">
      <c r="A10" s="11" t="s">
        <v>101</v>
      </c>
      <c r="B10" s="12">
        <v>20187.51</v>
      </c>
      <c r="C10" s="12">
        <v>6918</v>
      </c>
    </row>
    <row r="11" spans="1:3">
      <c r="A11" s="11" t="s">
        <v>102</v>
      </c>
      <c r="B11" s="12">
        <v>11609.04</v>
      </c>
      <c r="C11" s="12">
        <v>3743.85</v>
      </c>
    </row>
    <row r="12" spans="1:3">
      <c r="A12" s="11" t="s">
        <v>103</v>
      </c>
      <c r="B12" s="12">
        <v>10091.7</v>
      </c>
      <c r="C12" s="12">
        <v>3302.84</v>
      </c>
    </row>
    <row r="13" spans="1:3">
      <c r="A13" s="11" t="s">
        <v>104</v>
      </c>
      <c r="B13" s="12">
        <v>20533.5</v>
      </c>
      <c r="C13" s="12">
        <v>7457.52</v>
      </c>
    </row>
    <row r="14" spans="1:3">
      <c r="A14" s="11" t="s">
        <v>105</v>
      </c>
      <c r="B14" s="12">
        <v>14215.24</v>
      </c>
      <c r="C14" s="12">
        <v>4861.7</v>
      </c>
    </row>
    <row r="15" spans="1:3">
      <c r="A15" s="11" t="s">
        <v>106</v>
      </c>
      <c r="B15" s="12">
        <v>20135.03</v>
      </c>
      <c r="C15" s="12">
        <v>6814.88</v>
      </c>
    </row>
    <row r="16" spans="1:3">
      <c r="A16" s="11" t="s">
        <v>107</v>
      </c>
      <c r="B16" s="12">
        <v>11120.04</v>
      </c>
      <c r="C16" s="12">
        <v>3549.99</v>
      </c>
    </row>
    <row r="17" spans="1:3">
      <c r="A17" s="13" t="s">
        <v>108</v>
      </c>
      <c r="B17" s="14">
        <v>195217.76</v>
      </c>
      <c r="C17" s="14">
        <v>68287.01</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A1" sqref="$A1:$XFD1"/>
    </sheetView>
  </sheetViews>
  <sheetFormatPr defaultColWidth="8.88888888888889" defaultRowHeight="14.4"/>
  <sheetData>
    <row r="1" ht="21" spans="1:1">
      <c r="A1" s="4"/>
    </row>
    <row r="3" spans="1:10">
      <c r="A3" s="5" t="s">
        <v>109</v>
      </c>
      <c r="B3" s="5"/>
      <c r="C3" s="5"/>
      <c r="D3" s="5"/>
      <c r="E3" s="5"/>
      <c r="F3" s="5"/>
      <c r="G3" s="5"/>
      <c r="H3" s="5"/>
      <c r="I3" s="5"/>
      <c r="J3" s="5"/>
    </row>
    <row r="4" ht="15.15" spans="1:10">
      <c r="A4" s="5"/>
      <c r="B4" s="5"/>
      <c r="C4" s="5"/>
      <c r="D4" s="5"/>
      <c r="E4" s="5"/>
      <c r="F4" s="5"/>
      <c r="G4" s="5"/>
      <c r="H4" s="5"/>
      <c r="I4" s="5"/>
      <c r="J4" s="5"/>
    </row>
    <row r="5" spans="1:10">
      <c r="A5" s="6" t="s">
        <v>110</v>
      </c>
      <c r="B5" s="6"/>
      <c r="C5" s="5"/>
      <c r="D5" s="5"/>
      <c r="E5" s="5"/>
      <c r="F5" s="5"/>
      <c r="G5" s="5"/>
      <c r="H5" s="5"/>
      <c r="I5" s="5"/>
      <c r="J5" s="5"/>
    </row>
    <row r="6" spans="1:10">
      <c r="A6" s="5" t="s">
        <v>111</v>
      </c>
      <c r="B6" s="5">
        <v>0.773403064143426</v>
      </c>
      <c r="C6" s="5"/>
      <c r="D6" s="5"/>
      <c r="E6" s="5"/>
      <c r="F6" s="5"/>
      <c r="G6" s="5"/>
      <c r="H6" s="5"/>
      <c r="I6" s="5"/>
      <c r="J6" s="5"/>
    </row>
    <row r="7" spans="1:10">
      <c r="A7" s="5" t="s">
        <v>112</v>
      </c>
      <c r="B7" s="5">
        <v>0.598152299626441</v>
      </c>
      <c r="C7" s="5"/>
      <c r="D7" s="5"/>
      <c r="E7" s="5"/>
      <c r="F7" s="5"/>
      <c r="G7" s="5"/>
      <c r="H7" s="5"/>
      <c r="I7" s="5"/>
      <c r="J7" s="5"/>
    </row>
    <row r="8" spans="1:10">
      <c r="A8" s="5" t="s">
        <v>113</v>
      </c>
      <c r="B8" s="5">
        <v>0.59612276578617</v>
      </c>
      <c r="C8" s="5"/>
      <c r="D8" s="5"/>
      <c r="E8" s="5"/>
      <c r="F8" s="5"/>
      <c r="G8" s="5"/>
      <c r="H8" s="5"/>
      <c r="I8" s="5"/>
      <c r="J8" s="5"/>
    </row>
    <row r="9" spans="1:10">
      <c r="A9" s="5" t="s">
        <v>114</v>
      </c>
      <c r="B9" s="5">
        <v>86.2812305296652</v>
      </c>
      <c r="C9" s="5"/>
      <c r="D9" s="5"/>
      <c r="E9" s="5"/>
      <c r="F9" s="5"/>
      <c r="G9" s="5"/>
      <c r="H9" s="5"/>
      <c r="I9" s="5"/>
      <c r="J9" s="5"/>
    </row>
    <row r="10" ht="15.15" spans="1:10">
      <c r="A10" s="7" t="s">
        <v>115</v>
      </c>
      <c r="B10" s="7">
        <v>200</v>
      </c>
      <c r="C10" s="5"/>
      <c r="D10" s="5"/>
      <c r="E10" s="5"/>
      <c r="F10" s="5"/>
      <c r="G10" s="5"/>
      <c r="H10" s="5"/>
      <c r="I10" s="5"/>
      <c r="J10" s="5"/>
    </row>
    <row r="11" spans="1:10">
      <c r="A11" s="5"/>
      <c r="B11" s="5"/>
      <c r="C11" s="5"/>
      <c r="D11" s="5"/>
      <c r="E11" s="5"/>
      <c r="F11" s="5"/>
      <c r="G11" s="5"/>
      <c r="H11" s="5"/>
      <c r="I11" s="5"/>
      <c r="J11" s="5"/>
    </row>
    <row r="12" ht="15.15" spans="1:10">
      <c r="A12" s="5" t="s">
        <v>116</v>
      </c>
      <c r="B12" s="5"/>
      <c r="C12" s="5"/>
      <c r="D12" s="5"/>
      <c r="E12" s="5"/>
      <c r="F12" s="5"/>
      <c r="G12" s="5"/>
      <c r="H12" s="5"/>
      <c r="I12" s="5"/>
      <c r="J12" s="5"/>
    </row>
    <row r="13" spans="1:10">
      <c r="A13" s="8"/>
      <c r="B13" s="8" t="s">
        <v>117</v>
      </c>
      <c r="C13" s="8" t="s">
        <v>118</v>
      </c>
      <c r="D13" s="8" t="s">
        <v>119</v>
      </c>
      <c r="E13" s="8" t="s">
        <v>120</v>
      </c>
      <c r="F13" s="8" t="s">
        <v>121</v>
      </c>
      <c r="G13" s="5"/>
      <c r="H13" s="5"/>
      <c r="I13" s="5"/>
      <c r="J13" s="5"/>
    </row>
    <row r="14" spans="1:10">
      <c r="A14" s="5" t="s">
        <v>122</v>
      </c>
      <c r="B14" s="5">
        <v>1</v>
      </c>
      <c r="C14" s="5">
        <v>2194058.18334028</v>
      </c>
      <c r="D14" s="5">
        <v>2194058.18334028</v>
      </c>
      <c r="E14" s="5">
        <v>294.723984275481</v>
      </c>
      <c r="F14" s="5">
        <v>4.62693675589105e-41</v>
      </c>
      <c r="G14" s="5"/>
      <c r="H14" s="5"/>
      <c r="I14" s="5"/>
      <c r="J14" s="5"/>
    </row>
    <row r="15" spans="1:10">
      <c r="A15" s="5" t="s">
        <v>123</v>
      </c>
      <c r="B15" s="5">
        <v>198</v>
      </c>
      <c r="C15" s="5">
        <v>1474001.24685922</v>
      </c>
      <c r="D15" s="5">
        <v>7444.45074171322</v>
      </c>
      <c r="E15" s="5"/>
      <c r="F15" s="5"/>
      <c r="G15" s="5"/>
      <c r="H15" s="5"/>
      <c r="I15" s="5"/>
      <c r="J15" s="5"/>
    </row>
    <row r="16" ht="15.15" spans="1:10">
      <c r="A16" s="7" t="s">
        <v>124</v>
      </c>
      <c r="B16" s="7">
        <v>199</v>
      </c>
      <c r="C16" s="7">
        <v>3668059.4301995</v>
      </c>
      <c r="D16" s="7"/>
      <c r="E16" s="7"/>
      <c r="F16" s="7"/>
      <c r="G16" s="5"/>
      <c r="H16" s="5"/>
      <c r="I16" s="5"/>
      <c r="J16" s="5"/>
    </row>
    <row r="17" ht="15.15" spans="1:10">
      <c r="A17" s="5"/>
      <c r="B17" s="5"/>
      <c r="C17" s="5"/>
      <c r="D17" s="5"/>
      <c r="E17" s="5"/>
      <c r="F17" s="5"/>
      <c r="G17" s="5"/>
      <c r="H17" s="5"/>
      <c r="I17" s="5"/>
      <c r="J17" s="5"/>
    </row>
    <row r="18" spans="1:10">
      <c r="A18" s="8"/>
      <c r="B18" s="8" t="s">
        <v>125</v>
      </c>
      <c r="C18" s="8" t="s">
        <v>114</v>
      </c>
      <c r="D18" s="8" t="s">
        <v>126</v>
      </c>
      <c r="E18" s="8" t="s">
        <v>127</v>
      </c>
      <c r="F18" s="8" t="s">
        <v>128</v>
      </c>
      <c r="G18" s="8" t="s">
        <v>129</v>
      </c>
      <c r="H18" s="8" t="s">
        <v>130</v>
      </c>
      <c r="I18" s="8" t="s">
        <v>131</v>
      </c>
      <c r="J18" s="5"/>
    </row>
    <row r="19" spans="1:10">
      <c r="A19" s="5" t="s">
        <v>132</v>
      </c>
      <c r="B19" s="5">
        <v>-1.03155049019114</v>
      </c>
      <c r="C19" s="5">
        <v>20.8606170054455</v>
      </c>
      <c r="D19" s="5">
        <v>-0.049449663445806</v>
      </c>
      <c r="E19" s="5">
        <v>0.960610796969075</v>
      </c>
      <c r="F19" s="5">
        <v>-42.169051823379</v>
      </c>
      <c r="G19" s="5">
        <v>40.1059508429967</v>
      </c>
      <c r="H19" s="5">
        <v>-42.169051823379</v>
      </c>
      <c r="I19" s="5">
        <v>40.1059508429967</v>
      </c>
      <c r="J19" s="5"/>
    </row>
    <row r="20" ht="15.15" spans="1:10">
      <c r="A20" s="7" t="s">
        <v>133</v>
      </c>
      <c r="B20" s="7">
        <v>0.350855988195123</v>
      </c>
      <c r="C20" s="7">
        <v>0.0204371886301356</v>
      </c>
      <c r="D20" s="7">
        <v>17.167527028535</v>
      </c>
      <c r="E20" s="7">
        <v>4.62693675589079e-41</v>
      </c>
      <c r="F20" s="7">
        <v>0.310553495018658</v>
      </c>
      <c r="G20" s="7">
        <v>0.391158481371587</v>
      </c>
      <c r="H20" s="7">
        <v>0.310553495018658</v>
      </c>
      <c r="I20" s="7">
        <v>0.391158481371587</v>
      </c>
      <c r="J20" s="5"/>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topLeftCell="A19" workbookViewId="0">
      <selection activeCell="N20" sqref="N20"/>
    </sheetView>
  </sheetViews>
  <sheetFormatPr defaultColWidth="8.88888888888889" defaultRowHeight="14.4" outlineLevelCol="1"/>
  <cols>
    <col min="1" max="1" width="19.7777777777778"/>
    <col min="2" max="2" width="12.6666666666667"/>
    <col min="3" max="5" width="9.22222222222222"/>
    <col min="6" max="6" width="11.4444444444444"/>
  </cols>
  <sheetData>
    <row r="1" ht="18" spans="1:1">
      <c r="A1" s="1"/>
    </row>
    <row r="8" ht="18" spans="1:1">
      <c r="A8" s="1" t="s">
        <v>134</v>
      </c>
    </row>
    <row r="10" spans="1:2">
      <c r="A10" t="s">
        <v>4</v>
      </c>
      <c r="B10" t="s">
        <v>94</v>
      </c>
    </row>
    <row r="11" spans="1:2">
      <c r="A11" t="s">
        <v>40</v>
      </c>
      <c r="B11" s="2">
        <v>43468.33</v>
      </c>
    </row>
    <row r="12" spans="1:2">
      <c r="A12" t="s">
        <v>24</v>
      </c>
      <c r="B12" s="2">
        <v>32441.64</v>
      </c>
    </row>
    <row r="13" spans="1:2">
      <c r="A13" t="s">
        <v>30</v>
      </c>
      <c r="B13" s="2">
        <v>34975.42</v>
      </c>
    </row>
    <row r="14" spans="1:2">
      <c r="A14" t="s">
        <v>26</v>
      </c>
      <c r="B14" s="2">
        <v>40248.79</v>
      </c>
    </row>
    <row r="15" spans="1:2">
      <c r="A15" t="s">
        <v>17</v>
      </c>
      <c r="B15" s="2">
        <v>44083.58</v>
      </c>
    </row>
    <row r="16" spans="1:2">
      <c r="A16" t="s">
        <v>108</v>
      </c>
      <c r="B16" s="2">
        <v>195217.76</v>
      </c>
    </row>
    <row r="22" ht="18" spans="1:1">
      <c r="A22" s="1" t="s">
        <v>135</v>
      </c>
    </row>
    <row r="25" spans="1:2">
      <c r="A25" t="s">
        <v>5</v>
      </c>
      <c r="B25" t="s">
        <v>94</v>
      </c>
    </row>
    <row r="26" spans="1:2">
      <c r="A26" t="s">
        <v>18</v>
      </c>
      <c r="B26" s="2">
        <v>47002.46</v>
      </c>
    </row>
    <row r="27" spans="1:2">
      <c r="A27" t="s">
        <v>21</v>
      </c>
      <c r="B27" s="2">
        <v>41927.59</v>
      </c>
    </row>
    <row r="28" spans="1:2">
      <c r="A28" t="s">
        <v>27</v>
      </c>
      <c r="B28" s="2">
        <v>41044</v>
      </c>
    </row>
    <row r="29" spans="1:2">
      <c r="A29" t="s">
        <v>33</v>
      </c>
      <c r="B29" s="2">
        <v>36612.89</v>
      </c>
    </row>
    <row r="30" spans="1:2">
      <c r="A30" t="s">
        <v>45</v>
      </c>
      <c r="B30" s="2">
        <v>28630.82</v>
      </c>
    </row>
    <row r="31" spans="1:2">
      <c r="A31" t="s">
        <v>108</v>
      </c>
      <c r="B31" s="2">
        <v>195217.76</v>
      </c>
    </row>
    <row r="36" ht="18" spans="1:1">
      <c r="A36" s="1" t="s">
        <v>136</v>
      </c>
    </row>
    <row r="38" spans="1:2">
      <c r="A38" t="s">
        <v>93</v>
      </c>
      <c r="B38" t="s">
        <v>94</v>
      </c>
    </row>
    <row r="39" spans="1:2">
      <c r="A39" s="3" t="s">
        <v>96</v>
      </c>
      <c r="B39">
        <v>14914.65</v>
      </c>
    </row>
    <row r="40" spans="1:2">
      <c r="A40" s="3" t="s">
        <v>97</v>
      </c>
      <c r="B40">
        <v>14006.36</v>
      </c>
    </row>
    <row r="41" spans="1:2">
      <c r="A41" s="3" t="s">
        <v>98</v>
      </c>
      <c r="B41">
        <v>17655.22</v>
      </c>
    </row>
    <row r="42" spans="1:2">
      <c r="A42" s="3" t="s">
        <v>99</v>
      </c>
      <c r="B42">
        <v>22242.13</v>
      </c>
    </row>
    <row r="43" spans="1:2">
      <c r="A43" s="3" t="s">
        <v>100</v>
      </c>
      <c r="B43">
        <v>18507.34</v>
      </c>
    </row>
    <row r="44" spans="1:2">
      <c r="A44" s="3" t="s">
        <v>101</v>
      </c>
      <c r="B44">
        <v>20187.51</v>
      </c>
    </row>
    <row r="45" spans="1:2">
      <c r="A45" s="3" t="s">
        <v>102</v>
      </c>
      <c r="B45">
        <v>11609.04</v>
      </c>
    </row>
    <row r="46" spans="1:2">
      <c r="A46" s="3" t="s">
        <v>103</v>
      </c>
      <c r="B46">
        <v>10091.7</v>
      </c>
    </row>
    <row r="47" spans="1:2">
      <c r="A47" s="3" t="s">
        <v>104</v>
      </c>
      <c r="B47">
        <v>20533.5</v>
      </c>
    </row>
    <row r="48" spans="1:2">
      <c r="A48" s="3" t="s">
        <v>105</v>
      </c>
      <c r="B48">
        <v>14215.24</v>
      </c>
    </row>
    <row r="49" spans="1:2">
      <c r="A49" s="3" t="s">
        <v>106</v>
      </c>
      <c r="B49">
        <v>20135.03</v>
      </c>
    </row>
    <row r="50" spans="1:2">
      <c r="A50" s="3" t="s">
        <v>107</v>
      </c>
      <c r="B50">
        <v>11120.04</v>
      </c>
    </row>
    <row r="51" spans="1:2">
      <c r="A51" s="3" t="s">
        <v>108</v>
      </c>
      <c r="B51">
        <v>195217.76</v>
      </c>
    </row>
  </sheetData>
  <conditionalFormatting sqref="B39 B40 B41 B42 B43 B44 B45 B46 B47 B48 B49 B50">
    <cfRule type="iconSet" priority="1">
      <iconSet iconSet="3Arrows">
        <cfvo type="percent" val="0"/>
        <cfvo type="percent" val="33"/>
        <cfvo type="percent" val="67"/>
      </iconSet>
    </cfRule>
  </conditionalFormatting>
  <pageMargins left="0.75" right="0.75" top="1" bottom="1" header="0.5" footer="0.5"/>
  <headerFooter/>
  <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zoomScale="55" zoomScaleNormal="55" workbookViewId="0">
      <selection activeCell="A32" sqref="A32"/>
    </sheetView>
  </sheetViews>
  <sheetFormatPr defaultColWidth="8.88888888888889" defaultRowHeight="14.4"/>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Project Instructions</vt:lpstr>
      <vt:lpstr>Dataset</vt:lpstr>
      <vt:lpstr>top 10 customers</vt:lpstr>
      <vt:lpstr>WHAT IF Analysis</vt:lpstr>
      <vt:lpstr>Linear Regression (Profit vs Sa</vt:lpstr>
      <vt:lpstr>Descriptive Statistics</vt:lpstr>
      <vt:lpstr> Pivot Table </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Rishi Nagar</cp:lastModifiedBy>
  <dcterms:created xsi:type="dcterms:W3CDTF">2025-12-14T13:36:00Z</dcterms:created>
  <dcterms:modified xsi:type="dcterms:W3CDTF">2025-12-19T19:08:50Z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26B9CEDA5D834689B704DAF6C006833A_13</vt:lpwstr>
  </property>
  <property fmtid="{D5CDD505-2E9C-101B-9397-08002B2CF9AE}" pid="3" name="KSOProductBuildVer">
    <vt:lpwstr>2057-12.2.0.23149</vt:lpwstr>
  </property>
</Properties>
</file>